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mgon\Downloads\"/>
    </mc:Choice>
  </mc:AlternateContent>
  <xr:revisionPtr revIDLastSave="0" documentId="13_ncr:1_{16DA3B76-0915-4EB2-9FBC-858ED9EDDB8C}" xr6:coauthVersionLast="47" xr6:coauthVersionMax="47" xr10:uidLastSave="{00000000-0000-0000-0000-000000000000}"/>
  <bookViews>
    <workbookView xWindow="-69" yWindow="-69" windowWidth="20709" windowHeight="13132" tabRatio="500" xr2:uid="{00000000-000D-0000-FFFF-FFFF00000000}"/>
  </bookViews>
  <sheets>
    <sheet name="📖 INSTRUCCIONES" sheetId="1" r:id="rId1"/>
    <sheet name="📊 CALCULADORA BCG" sheetId="2" r:id="rId2"/>
    <sheet name="📐 PRINCIPIOS OMNES" sheetId="3" r:id="rId3"/>
    <sheet name="🎯 PLAN DE ACCIÓ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9" i="2" l="1" a="1"/>
  <c r="V39" i="2" s="1"/>
  <c r="V38" i="2"/>
  <c r="V37" i="2"/>
  <c r="V34" i="2"/>
  <c r="V33" i="2" a="1"/>
  <c r="V33" i="2" s="1"/>
  <c r="V30" i="2" a="1"/>
  <c r="V30" i="2" s="1"/>
  <c r="V29" i="2" a="1"/>
  <c r="V29" i="2" s="1"/>
  <c r="V28" i="2" a="1"/>
  <c r="V28" i="2"/>
  <c r="V27" i="2" a="1"/>
  <c r="V27" i="2" s="1"/>
  <c r="V26" i="2" a="1"/>
  <c r="V26" i="2" s="1"/>
  <c r="V23" i="2"/>
  <c r="V22" i="2"/>
  <c r="V21" i="2"/>
  <c r="V20" i="2"/>
  <c r="V19" i="2"/>
  <c r="V16" i="2"/>
  <c r="V15" i="2"/>
  <c r="V14" i="2" a="1"/>
  <c r="V14" i="2"/>
  <c r="V13" i="2" a="1"/>
  <c r="V13" i="2"/>
  <c r="V12" i="2" a="1"/>
  <c r="V12" i="2" s="1"/>
  <c r="V11" i="2" a="1"/>
  <c r="V11" i="2" s="1"/>
  <c r="V10" i="2"/>
  <c r="V9" i="2"/>
  <c r="O54" i="2" a="1"/>
  <c r="O54" i="2" s="1"/>
  <c r="N54" i="2" a="1"/>
  <c r="N54" i="2"/>
  <c r="S53" i="2"/>
  <c r="R53" i="2"/>
  <c r="Q53" i="2" a="1"/>
  <c r="Q53" i="2" s="1"/>
  <c r="P53" i="2"/>
  <c r="O53" i="2"/>
  <c r="N53" i="2"/>
  <c r="S52" i="2"/>
  <c r="R52" i="2"/>
  <c r="Q52" i="2" a="1"/>
  <c r="Q52" i="2" s="1"/>
  <c r="P52" i="2"/>
  <c r="O52" i="2"/>
  <c r="N52" i="2"/>
  <c r="S51" i="2"/>
  <c r="R51" i="2"/>
  <c r="Q51" i="2" a="1"/>
  <c r="Q51" i="2" s="1"/>
  <c r="P51" i="2"/>
  <c r="O51" i="2"/>
  <c r="N51" i="2"/>
  <c r="S50" i="2"/>
  <c r="R50" i="2"/>
  <c r="Q50" i="2" a="1"/>
  <c r="Q50" i="2" s="1"/>
  <c r="P50" i="2"/>
  <c r="O50" i="2"/>
  <c r="N50" i="2"/>
  <c r="S49" i="2"/>
  <c r="R49" i="2"/>
  <c r="Q49" i="2"/>
  <c r="Q49" i="2" a="1"/>
  <c r="P49" i="2"/>
  <c r="O49" i="2"/>
  <c r="N49" i="2"/>
  <c r="S48" i="2"/>
  <c r="R48" i="2"/>
  <c r="Q48" i="2" a="1"/>
  <c r="Q48" i="2" s="1"/>
  <c r="P48" i="2"/>
  <c r="O48" i="2"/>
  <c r="N48" i="2"/>
  <c r="S47" i="2"/>
  <c r="R47" i="2"/>
  <c r="Q47" i="2" a="1"/>
  <c r="Q47" i="2" s="1"/>
  <c r="P47" i="2"/>
  <c r="O47" i="2"/>
  <c r="N47" i="2"/>
  <c r="S46" i="2"/>
  <c r="R46" i="2"/>
  <c r="Q46" i="2" a="1"/>
  <c r="Q46" i="2" s="1"/>
  <c r="P46" i="2"/>
  <c r="O46" i="2"/>
  <c r="N46" i="2"/>
  <c r="S45" i="2"/>
  <c r="R45" i="2"/>
  <c r="Q45" i="2" a="1"/>
  <c r="Q45" i="2" s="1"/>
  <c r="P45" i="2"/>
  <c r="O45" i="2"/>
  <c r="N45" i="2"/>
  <c r="S44" i="2"/>
  <c r="R44" i="2"/>
  <c r="Q44" i="2" a="1"/>
  <c r="Q44" i="2" s="1"/>
  <c r="P44" i="2"/>
  <c r="O44" i="2"/>
  <c r="N44" i="2"/>
  <c r="S43" i="2"/>
  <c r="R43" i="2"/>
  <c r="Q43" i="2" a="1"/>
  <c r="Q43" i="2" s="1"/>
  <c r="P43" i="2"/>
  <c r="O43" i="2"/>
  <c r="N43" i="2"/>
  <c r="S42" i="2"/>
  <c r="R42" i="2"/>
  <c r="Q42" i="2" a="1"/>
  <c r="Q42" i="2" s="1"/>
  <c r="P42" i="2"/>
  <c r="O42" i="2"/>
  <c r="N42" i="2"/>
  <c r="S41" i="2"/>
  <c r="R41" i="2"/>
  <c r="Q41" i="2" a="1"/>
  <c r="Q41" i="2" s="1"/>
  <c r="P41" i="2"/>
  <c r="O41" i="2"/>
  <c r="N41" i="2"/>
  <c r="S40" i="2"/>
  <c r="R40" i="2"/>
  <c r="Q40" i="2" a="1"/>
  <c r="Q40" i="2" s="1"/>
  <c r="P40" i="2"/>
  <c r="O40" i="2"/>
  <c r="N40" i="2"/>
  <c r="S39" i="2"/>
  <c r="R39" i="2"/>
  <c r="Q39" i="2" a="1"/>
  <c r="Q39" i="2" s="1"/>
  <c r="P39" i="2"/>
  <c r="O39" i="2"/>
  <c r="N39" i="2"/>
  <c r="S38" i="2"/>
  <c r="R38" i="2"/>
  <c r="Q38" i="2" a="1"/>
  <c r="Q38" i="2" s="1"/>
  <c r="P38" i="2"/>
  <c r="O38" i="2"/>
  <c r="N38" i="2"/>
  <c r="S37" i="2"/>
  <c r="R37" i="2"/>
  <c r="Q37" i="2" a="1"/>
  <c r="Q37" i="2" s="1"/>
  <c r="P37" i="2"/>
  <c r="O37" i="2"/>
  <c r="N37" i="2"/>
  <c r="S36" i="2"/>
  <c r="R36" i="2"/>
  <c r="Q36" i="2" a="1"/>
  <c r="Q36" i="2" s="1"/>
  <c r="P36" i="2"/>
  <c r="O36" i="2"/>
  <c r="N36" i="2"/>
  <c r="S35" i="2"/>
  <c r="R35" i="2"/>
  <c r="Q35" i="2" a="1"/>
  <c r="Q35" i="2" s="1"/>
  <c r="P35" i="2"/>
  <c r="O35" i="2"/>
  <c r="N35" i="2"/>
  <c r="S34" i="2"/>
  <c r="R34" i="2"/>
  <c r="Q34" i="2" a="1"/>
  <c r="Q34" i="2" s="1"/>
  <c r="P34" i="2"/>
  <c r="O34" i="2"/>
  <c r="N34" i="2"/>
  <c r="S33" i="2"/>
  <c r="R33" i="2"/>
  <c r="Q33" i="2" a="1"/>
  <c r="Q33" i="2" s="1"/>
  <c r="P33" i="2"/>
  <c r="O33" i="2"/>
  <c r="N33" i="2"/>
  <c r="S32" i="2"/>
  <c r="R32" i="2"/>
  <c r="Q32" i="2" a="1"/>
  <c r="Q32" i="2" s="1"/>
  <c r="P32" i="2"/>
  <c r="O32" i="2"/>
  <c r="N32" i="2"/>
  <c r="S31" i="2"/>
  <c r="R31" i="2"/>
  <c r="Q31" i="2" a="1"/>
  <c r="Q31" i="2" s="1"/>
  <c r="P31" i="2"/>
  <c r="O31" i="2"/>
  <c r="N31" i="2"/>
  <c r="S30" i="2"/>
  <c r="R30" i="2"/>
  <c r="Q30" i="2" a="1"/>
  <c r="Q30" i="2" s="1"/>
  <c r="P30" i="2"/>
  <c r="O30" i="2"/>
  <c r="N30" i="2"/>
  <c r="S29" i="2"/>
  <c r="R29" i="2"/>
  <c r="Q29" i="2" a="1"/>
  <c r="Q29" i="2" s="1"/>
  <c r="P29" i="2"/>
  <c r="O29" i="2"/>
  <c r="N29" i="2"/>
  <c r="S28" i="2"/>
  <c r="R28" i="2"/>
  <c r="Q28" i="2" a="1"/>
  <c r="Q28" i="2" s="1"/>
  <c r="P28" i="2"/>
  <c r="O28" i="2"/>
  <c r="N28" i="2"/>
  <c r="S27" i="2"/>
  <c r="R27" i="2"/>
  <c r="Q27" i="2" a="1"/>
  <c r="Q27" i="2" s="1"/>
  <c r="P27" i="2"/>
  <c r="O27" i="2"/>
  <c r="N27" i="2"/>
  <c r="S26" i="2"/>
  <c r="R26" i="2"/>
  <c r="Q26" i="2" a="1"/>
  <c r="Q26" i="2" s="1"/>
  <c r="P26" i="2"/>
  <c r="O26" i="2"/>
  <c r="N26" i="2"/>
  <c r="S25" i="2"/>
  <c r="R25" i="2"/>
  <c r="Q25" i="2" a="1"/>
  <c r="Q25" i="2" s="1"/>
  <c r="P25" i="2"/>
  <c r="O25" i="2"/>
  <c r="N25" i="2"/>
  <c r="S24" i="2"/>
  <c r="R24" i="2"/>
  <c r="Q24" i="2" a="1"/>
  <c r="Q24" i="2" s="1"/>
  <c r="P24" i="2"/>
  <c r="O24" i="2"/>
  <c r="N24" i="2"/>
  <c r="S23" i="2"/>
  <c r="R23" i="2"/>
  <c r="Q23" i="2" a="1"/>
  <c r="Q23" i="2" s="1"/>
  <c r="P23" i="2"/>
  <c r="O23" i="2"/>
  <c r="N23" i="2"/>
  <c r="S22" i="2"/>
  <c r="R22" i="2"/>
  <c r="Q22" i="2" a="1"/>
  <c r="Q22" i="2" s="1"/>
  <c r="P22" i="2"/>
  <c r="O22" i="2"/>
  <c r="N22" i="2"/>
  <c r="S21" i="2"/>
  <c r="R21" i="2"/>
  <c r="Q21" i="2" a="1"/>
  <c r="Q21" i="2" s="1"/>
  <c r="P21" i="2"/>
  <c r="O21" i="2"/>
  <c r="N21" i="2"/>
  <c r="S20" i="2"/>
  <c r="R20" i="2"/>
  <c r="Q20" i="2" a="1"/>
  <c r="Q20" i="2" s="1"/>
  <c r="P20" i="2"/>
  <c r="O20" i="2"/>
  <c r="N20" i="2"/>
  <c r="R19" i="2"/>
  <c r="Q19" i="2" a="1"/>
  <c r="Q19" i="2" s="1"/>
  <c r="O19" i="2"/>
  <c r="N19" i="2"/>
  <c r="P19" i="2" s="1"/>
  <c r="S19" i="2" s="1"/>
  <c r="R18" i="2"/>
  <c r="Q18" i="2" a="1"/>
  <c r="Q18" i="2" s="1"/>
  <c r="O18" i="2"/>
  <c r="N18" i="2"/>
  <c r="P18" i="2" s="1"/>
  <c r="S18" i="2" s="1"/>
  <c r="R17" i="2"/>
  <c r="Q17" i="2" a="1"/>
  <c r="Q17" i="2" s="1"/>
  <c r="O17" i="2"/>
  <c r="N17" i="2"/>
  <c r="P17" i="2" s="1"/>
  <c r="S17" i="2" s="1"/>
  <c r="R16" i="2"/>
  <c r="Q16" i="2" a="1"/>
  <c r="Q16" i="2" s="1"/>
  <c r="O16" i="2"/>
  <c r="N16" i="2"/>
  <c r="P16" i="2" s="1"/>
  <c r="S16" i="2" s="1"/>
  <c r="R15" i="2"/>
  <c r="Q15" i="2" a="1"/>
  <c r="Q15" i="2" s="1"/>
  <c r="O15" i="2"/>
  <c r="N15" i="2"/>
  <c r="P15" i="2" s="1"/>
  <c r="S15" i="2" s="1"/>
  <c r="R14" i="2"/>
  <c r="Q14" i="2" a="1"/>
  <c r="Q14" i="2" s="1"/>
  <c r="O14" i="2"/>
  <c r="N14" i="2"/>
  <c r="P14" i="2" s="1"/>
  <c r="S14" i="2" s="1"/>
  <c r="R13" i="2"/>
  <c r="Q13" i="2" a="1"/>
  <c r="Q13" i="2" s="1"/>
  <c r="O13" i="2"/>
  <c r="N13" i="2"/>
  <c r="P13" i="2" s="1"/>
  <c r="S13" i="2" s="1"/>
  <c r="R12" i="2"/>
  <c r="Q12" i="2" a="1"/>
  <c r="Q12" i="2" s="1"/>
  <c r="O12" i="2"/>
  <c r="N12" i="2"/>
  <c r="P12" i="2" s="1"/>
  <c r="S12" i="2" s="1"/>
  <c r="R11" i="2"/>
  <c r="Q11" i="2" a="1"/>
  <c r="Q11" i="2" s="1"/>
  <c r="O11" i="2"/>
  <c r="N11" i="2"/>
  <c r="R10" i="2"/>
  <c r="Q10" i="2" a="1"/>
  <c r="Q10" i="2" s="1"/>
  <c r="O10" i="2"/>
  <c r="N10" i="2"/>
  <c r="R9" i="2"/>
  <c r="Q9" i="2" a="1"/>
  <c r="Q9" i="2" s="1"/>
  <c r="P9" i="2"/>
  <c r="S9" i="2" s="1"/>
  <c r="O9" i="2"/>
  <c r="N9" i="2"/>
  <c r="H54" i="2" a="1"/>
  <c r="H54" i="2" s="1"/>
  <c r="G48" i="3"/>
  <c r="G47" i="3"/>
  <c r="G46" i="3"/>
  <c r="G45" i="3"/>
  <c r="C45" i="3"/>
  <c r="L44" i="3"/>
  <c r="G44" i="3"/>
  <c r="C44" i="3"/>
  <c r="L43" i="3"/>
  <c r="G43" i="3"/>
  <c r="C43" i="3"/>
  <c r="L42" i="3"/>
  <c r="G42" i="3"/>
  <c r="C42" i="3"/>
  <c r="L41" i="3"/>
  <c r="G41" i="3"/>
  <c r="C41" i="3"/>
  <c r="L40" i="3"/>
  <c r="G40" i="3"/>
  <c r="C40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I54" i="2"/>
  <c r="E54" i="2"/>
  <c r="M53" i="2"/>
  <c r="L53" i="2"/>
  <c r="K53" i="2"/>
  <c r="J53" i="2"/>
  <c r="I53" i="2"/>
  <c r="H53" i="2"/>
  <c r="M52" i="2"/>
  <c r="L52" i="2"/>
  <c r="K52" i="2"/>
  <c r="J52" i="2"/>
  <c r="I52" i="2"/>
  <c r="H52" i="2"/>
  <c r="M51" i="2"/>
  <c r="L51" i="2"/>
  <c r="K51" i="2"/>
  <c r="J51" i="2"/>
  <c r="I51" i="2"/>
  <c r="H51" i="2"/>
  <c r="M50" i="2"/>
  <c r="L50" i="2"/>
  <c r="K50" i="2"/>
  <c r="J50" i="2"/>
  <c r="I50" i="2"/>
  <c r="H50" i="2"/>
  <c r="M49" i="2"/>
  <c r="L49" i="2"/>
  <c r="K49" i="2"/>
  <c r="J49" i="2"/>
  <c r="I49" i="2"/>
  <c r="H49" i="2"/>
  <c r="M48" i="2"/>
  <c r="L48" i="2"/>
  <c r="K48" i="2"/>
  <c r="J48" i="2"/>
  <c r="I48" i="2"/>
  <c r="H48" i="2"/>
  <c r="M47" i="2"/>
  <c r="L47" i="2"/>
  <c r="K47" i="2"/>
  <c r="J47" i="2"/>
  <c r="I47" i="2"/>
  <c r="H47" i="2"/>
  <c r="M46" i="2"/>
  <c r="L46" i="2"/>
  <c r="K46" i="2"/>
  <c r="J46" i="2"/>
  <c r="I46" i="2"/>
  <c r="H46" i="2"/>
  <c r="M45" i="2"/>
  <c r="L45" i="2"/>
  <c r="K45" i="2"/>
  <c r="J45" i="2"/>
  <c r="I45" i="2"/>
  <c r="H45" i="2"/>
  <c r="M44" i="2"/>
  <c r="L44" i="2"/>
  <c r="K44" i="2"/>
  <c r="J44" i="2"/>
  <c r="I44" i="2"/>
  <c r="H44" i="2"/>
  <c r="M43" i="2"/>
  <c r="L43" i="2"/>
  <c r="K43" i="2"/>
  <c r="J43" i="2"/>
  <c r="I43" i="2"/>
  <c r="H43" i="2"/>
  <c r="M42" i="2"/>
  <c r="L42" i="2"/>
  <c r="K42" i="2"/>
  <c r="J42" i="2"/>
  <c r="I42" i="2"/>
  <c r="H42" i="2"/>
  <c r="M41" i="2"/>
  <c r="L41" i="2"/>
  <c r="K41" i="2"/>
  <c r="J41" i="2"/>
  <c r="I41" i="2"/>
  <c r="H41" i="2"/>
  <c r="M40" i="2"/>
  <c r="L40" i="2"/>
  <c r="K40" i="2"/>
  <c r="J40" i="2"/>
  <c r="I40" i="2"/>
  <c r="H40" i="2"/>
  <c r="M39" i="2"/>
  <c r="L39" i="2"/>
  <c r="K39" i="2"/>
  <c r="J39" i="2"/>
  <c r="I39" i="2"/>
  <c r="H39" i="2"/>
  <c r="M38" i="2"/>
  <c r="L38" i="2"/>
  <c r="K38" i="2"/>
  <c r="J38" i="2"/>
  <c r="I38" i="2"/>
  <c r="H38" i="2"/>
  <c r="M37" i="2"/>
  <c r="L37" i="2"/>
  <c r="K37" i="2"/>
  <c r="J37" i="2"/>
  <c r="I37" i="2"/>
  <c r="H37" i="2"/>
  <c r="M36" i="2"/>
  <c r="L36" i="2"/>
  <c r="K36" i="2"/>
  <c r="J36" i="2"/>
  <c r="I36" i="2"/>
  <c r="H36" i="2"/>
  <c r="M35" i="2"/>
  <c r="L35" i="2"/>
  <c r="K35" i="2"/>
  <c r="J35" i="2"/>
  <c r="I35" i="2"/>
  <c r="H35" i="2"/>
  <c r="M34" i="2"/>
  <c r="L34" i="2"/>
  <c r="K34" i="2"/>
  <c r="J34" i="2"/>
  <c r="I34" i="2"/>
  <c r="H34" i="2"/>
  <c r="M33" i="2"/>
  <c r="L33" i="2"/>
  <c r="K33" i="2"/>
  <c r="J33" i="2"/>
  <c r="I33" i="2"/>
  <c r="H33" i="2"/>
  <c r="M32" i="2"/>
  <c r="L32" i="2"/>
  <c r="K32" i="2"/>
  <c r="J32" i="2"/>
  <c r="I32" i="2"/>
  <c r="H32" i="2"/>
  <c r="M31" i="2"/>
  <c r="L31" i="2"/>
  <c r="K31" i="2"/>
  <c r="J31" i="2"/>
  <c r="I31" i="2"/>
  <c r="H31" i="2"/>
  <c r="M30" i="2"/>
  <c r="L30" i="2"/>
  <c r="K30" i="2"/>
  <c r="J30" i="2"/>
  <c r="I30" i="2"/>
  <c r="H30" i="2"/>
  <c r="M29" i="2"/>
  <c r="L29" i="2"/>
  <c r="K29" i="2"/>
  <c r="J29" i="2"/>
  <c r="I29" i="2"/>
  <c r="H29" i="2"/>
  <c r="M28" i="2"/>
  <c r="L28" i="2"/>
  <c r="K28" i="2"/>
  <c r="J28" i="2"/>
  <c r="I28" i="2"/>
  <c r="H28" i="2"/>
  <c r="M27" i="2"/>
  <c r="L27" i="2"/>
  <c r="K27" i="2"/>
  <c r="J27" i="2"/>
  <c r="I27" i="2"/>
  <c r="H27" i="2"/>
  <c r="M26" i="2"/>
  <c r="L26" i="2"/>
  <c r="K26" i="2"/>
  <c r="J26" i="2"/>
  <c r="I26" i="2"/>
  <c r="H26" i="2"/>
  <c r="M25" i="2"/>
  <c r="L25" i="2"/>
  <c r="K25" i="2"/>
  <c r="J25" i="2"/>
  <c r="I25" i="2"/>
  <c r="H25" i="2"/>
  <c r="M24" i="2"/>
  <c r="L24" i="2"/>
  <c r="K24" i="2"/>
  <c r="J24" i="2"/>
  <c r="I24" i="2"/>
  <c r="H24" i="2"/>
  <c r="M23" i="2"/>
  <c r="L23" i="2"/>
  <c r="K23" i="2"/>
  <c r="J23" i="2"/>
  <c r="I23" i="2"/>
  <c r="H23" i="2"/>
  <c r="M22" i="2"/>
  <c r="L22" i="2"/>
  <c r="K22" i="2"/>
  <c r="J22" i="2"/>
  <c r="I22" i="2"/>
  <c r="H22" i="2"/>
  <c r="M21" i="2"/>
  <c r="L21" i="2"/>
  <c r="K21" i="2"/>
  <c r="J21" i="2"/>
  <c r="I21" i="2"/>
  <c r="H21" i="2"/>
  <c r="M20" i="2"/>
  <c r="L20" i="2"/>
  <c r="K20" i="2"/>
  <c r="J20" i="2"/>
  <c r="I20" i="2"/>
  <c r="H20" i="2"/>
  <c r="J19" i="2"/>
  <c r="L19" i="2" s="1"/>
  <c r="I19" i="2"/>
  <c r="H19" i="2"/>
  <c r="K19" i="2" s="1"/>
  <c r="M19" i="2" s="1"/>
  <c r="J18" i="2"/>
  <c r="L18" i="2" s="1"/>
  <c r="I18" i="2"/>
  <c r="H18" i="2"/>
  <c r="K18" i="2" s="1"/>
  <c r="M18" i="2" s="1"/>
  <c r="J17" i="2"/>
  <c r="L17" i="2" s="1"/>
  <c r="I17" i="2"/>
  <c r="H17" i="2"/>
  <c r="K17" i="2" s="1"/>
  <c r="M17" i="2" s="1"/>
  <c r="J16" i="2"/>
  <c r="L16" i="2" s="1"/>
  <c r="I16" i="2"/>
  <c r="H16" i="2"/>
  <c r="K16" i="2" s="1"/>
  <c r="M16" i="2" s="1"/>
  <c r="J15" i="2"/>
  <c r="L15" i="2" s="1"/>
  <c r="I15" i="2"/>
  <c r="H15" i="2"/>
  <c r="K15" i="2" s="1"/>
  <c r="J14" i="2"/>
  <c r="L14" i="2" s="1"/>
  <c r="I14" i="2"/>
  <c r="H14" i="2"/>
  <c r="K14" i="2" s="1"/>
  <c r="M14" i="2" s="1"/>
  <c r="J13" i="2"/>
  <c r="L13" i="2" s="1"/>
  <c r="I13" i="2"/>
  <c r="H13" i="2"/>
  <c r="K13" i="2" s="1"/>
  <c r="M13" i="2" s="1"/>
  <c r="J12" i="2"/>
  <c r="L12" i="2" s="1"/>
  <c r="I12" i="2"/>
  <c r="H12" i="2"/>
  <c r="K12" i="2" s="1"/>
  <c r="M12" i="2" s="1"/>
  <c r="J11" i="2"/>
  <c r="L11" i="2" s="1"/>
  <c r="I11" i="2"/>
  <c r="H11" i="2"/>
  <c r="K11" i="2" s="1"/>
  <c r="M11" i="2" s="1"/>
  <c r="J10" i="2"/>
  <c r="L10" i="2" s="1"/>
  <c r="I10" i="2"/>
  <c r="H10" i="2"/>
  <c r="K10" i="2" s="1"/>
  <c r="M10" i="2" s="1"/>
  <c r="J9" i="2"/>
  <c r="L9" i="2" s="1"/>
  <c r="I9" i="2"/>
  <c r="H9" i="2"/>
  <c r="P10" i="2" l="1"/>
  <c r="S10" i="2" s="1"/>
  <c r="P11" i="2"/>
  <c r="S11" i="2" s="1"/>
  <c r="K9" i="2"/>
  <c r="M9" i="2" s="1"/>
  <c r="M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<sst xmlns="http://schemas.openxmlformats.org/spreadsheetml/2006/main" count="217" uniqueCount="196">
  <si>
    <t>EL MÉTODO 360</t>
  </si>
  <si>
    <t>CALCULADORA DE INGENIERÍA DE MENÚ</t>
  </si>
  <si>
    <t>¿QUÉ ES ESTA HERRAMIENTA?</t>
  </si>
  <si>
    <t>LAS 4 CATEGORÍAS DE PLATOS</t>
  </si>
  <si>
    <t>⭐  ESTRELLA</t>
  </si>
  <si>
    <t>🐴  CABALLO DE TIRO</t>
  </si>
  <si>
    <t>🧩  PUZZLE</t>
  </si>
  <si>
    <t>Alta popularidad + Alta rentabilidad</t>
  </si>
  <si>
    <t>Alta popularidad + Baja rentabilidad</t>
  </si>
  <si>
    <t>Baja popularidad + Alta rentabilidad</t>
  </si>
  <si>
    <t>Tu combinación perfecta. Promuévelos al máximo: primera página, foto, que el equipo los recomiende.</t>
  </si>
  <si>
    <t>Se venden mucho pero dejan poco margen. Sube precio 5-10%, reduce coste o crea upsell.</t>
  </si>
  <si>
    <t>Buenos márgenes pero poca venta. Test 30 días: reubica, mejora descripción, que el equipo lo recomiende.</t>
  </si>
  <si>
    <t>🐕  PERRO/ZOMBIE</t>
  </si>
  <si>
    <t>Baja popularidad + Baja rentabilidad</t>
  </si>
  <si>
    <t>Nadie los pide y cuando lo hacen no dejan margen. Elimínalos sin piedad: menos inventario, menos estrés en cocina, más foco en lo que funciona.</t>
  </si>
  <si>
    <t>CÓMO USAR LA CALCULADORA  —  4 PASOS</t>
  </si>
  <si>
    <t>1</t>
  </si>
  <si>
    <t>Ir a la pestaña  📊 CALCULADORA BCG</t>
  </si>
  <si>
    <t>Verás la tabla con 45 filas disponibles. Las celdas en azul claro son las que debes rellenar.</t>
  </si>
  <si>
    <t>2</t>
  </si>
  <si>
    <t>Introducir los datos de cada plato</t>
  </si>
  <si>
    <t>Para cada plato: nombre, categoría, unidades vendidas en el mes, precio SIN IVA y coste de materia prima (de tu ficha técnica).</t>
  </si>
  <si>
    <t>3</t>
  </si>
  <si>
    <t>La calculadora hace el resto automáticamente</t>
  </si>
  <si>
    <t>4</t>
  </si>
  <si>
    <t>Ir a  🎯 PLAN DE ACCIÓN  y actuar</t>
  </si>
  <si>
    <t>Con tu carta clasificada, la pestaña Plan de Acción te dice exactamente qué hacer con cada categoría. Toma al menos 3 decisiones hoy.</t>
  </si>
  <si>
    <t>GUÍA DE COLORES EN LA CALCULADORA</t>
  </si>
  <si>
    <t xml:space="preserve">  Ejemplo</t>
  </si>
  <si>
    <t>Celda editable — aquí introduces tus datos</t>
  </si>
  <si>
    <t>Celda calculada — no tocar, se calcula automáticamente</t>
  </si>
  <si>
    <t>⭐ ESTRELLA — Plato popular y rentable</t>
  </si>
  <si>
    <t>🐴 CABALLO DE TIRO — Popular pero poco rentable</t>
  </si>
  <si>
    <t>🧩 PUZZLE — Rentable pero poco popular</t>
  </si>
  <si>
    <t>🐕 PERRO/ZOMBIE — Ni popular ni rentable</t>
  </si>
  <si>
    <t>⚠️  IMPORTANTE: Necesitas fichas técnicas con costes reales. Sin costes fiables, la clasificación es incorrecta. → Módulo 4 del curso.</t>
  </si>
  <si>
    <t>¿Quieres que analicemos tu carta con el Sistema 360?   Solicita tu diagnóstico gratuito  →  https://elmetodo360.com/diagnostico-gratuito/</t>
  </si>
  <si>
    <t>📊  CALCULADORA BCG — INGENIERÍA DE MENÚ</t>
  </si>
  <si>
    <t>Introduce los datos en las celdas azules · Las celdas grises se calculan automáticamente · Capacidad: 45 platos</t>
  </si>
  <si>
    <t>Se actualiza automáticamente</t>
  </si>
  <si>
    <t>Nº</t>
  </si>
  <si>
    <t>NOMBRE DEL PLATO</t>
  </si>
  <si>
    <t>CATEGORÍA CARTA</t>
  </si>
  <si>
    <t>UDS VENDIDAS
(mes)</t>
  </si>
  <si>
    <t>PRECIO VENTA
(sin IVA)</t>
  </si>
  <si>
    <t>COSTE MP
(€/plato)</t>
  </si>
  <si>
    <t>MARGEN
CONTRIBUCIÓN (€)</t>
  </si>
  <si>
    <t>% COSTE
MP</t>
  </si>
  <si>
    <t>ÍNDICE
POPULARIDAD</t>
  </si>
  <si>
    <t>RENTABILIDAD</t>
  </si>
  <si>
    <t>POPULARIDAD</t>
  </si>
  <si>
    <t>🏆 POSICIÓN
MATRIZ BCG</t>
  </si>
  <si>
    <t>DATOS GENERALES</t>
  </si>
  <si>
    <t>Rodaballo Salvaje</t>
  </si>
  <si>
    <t>Principal</t>
  </si>
  <si>
    <t>Platos en la carta</t>
  </si>
  <si>
    <t>Lubina con crema de puerros</t>
  </si>
  <si>
    <t>Total uds vendidas</t>
  </si>
  <si>
    <t>Corvina con puré de boniatos</t>
  </si>
  <si>
    <t>Ventas totales (€)</t>
  </si>
  <si>
    <t>Calamares salsa romesco</t>
  </si>
  <si>
    <t>Coste total MP (€)</t>
  </si>
  <si>
    <t>Pitxin a la fritura</t>
  </si>
  <si>
    <t>Tapa</t>
  </si>
  <si>
    <t>Beneficio total (€)</t>
  </si>
  <si>
    <t>Carré de cordero 60°</t>
  </si>
  <si>
    <t>Cochinillo confitado</t>
  </si>
  <si>
    <t>Margen contrib. medio (€)</t>
  </si>
  <si>
    <t>Lomo Bajo de Buey</t>
  </si>
  <si>
    <t>Carrilleras de ternera</t>
  </si>
  <si>
    <t>Rabo de toro estofado</t>
  </si>
  <si>
    <t>Solomillo Rossini</t>
  </si>
  <si>
    <t>⭐ ESTRELLAS</t>
  </si>
  <si>
    <t>🐴 CABALLOS DE TIRO</t>
  </si>
  <si>
    <t>🧩 PUZZLES</t>
  </si>
  <si>
    <t>🐕 PERROS/ZOMBIES</t>
  </si>
  <si>
    <t>Beneficio Estrellas (€)</t>
  </si>
  <si>
    <t>% Beneficio Estrellas</t>
  </si>
  <si>
    <t>TOTALES</t>
  </si>
  <si>
    <t>¿Listo para el siguiente paso?</t>
  </si>
  <si>
    <t>Ya sabes qué platos te están costando dinero. El siguiente paso es un diagnóstico gratuito de 60 minutos donde analizamos tu carta, tu food cost y tus márgenes reales.</t>
  </si>
  <si>
    <t>Reserva aquí tu diagnóstico gratuito  →  https://elmetodo360.com/diagnostico-gratuito/</t>
  </si>
  <si>
    <t>📐  PRINCIPIOS OMNES — ANÁLISIS DE CARTA</t>
  </si>
  <si>
    <t>Introduce los PVP y unidades vendidas de cada plato · Los tres análisis se calculan automáticamente</t>
  </si>
  <si>
    <t>1️⃣  DISPERSIÓN DE PRECIOS</t>
  </si>
  <si>
    <t>2️⃣  AMPLITUD DE GAMA</t>
  </si>
  <si>
    <t>3️⃣  RELACIÓN CALIDAD / PRECIO</t>
  </si>
  <si>
    <t>Ratio = PVP más alto / PVP más bajo. ≥12 platos: máx. coef. 3 | &lt;12 platos: máx. coef. 2,5</t>
  </si>
  <si>
    <t>Banda Baja + Banda Alta ≥ Banda Media. Intervalo = (PVP Alto − PVP Bajo) / 3</t>
  </si>
  <si>
    <t>Ratio = Precio medio solicitado / Precio medio ofertado. Objetivo: ratio &lt; 1 (margen de subida). Si &gt;1: precios por debajo de expectativas del cliente.</t>
  </si>
  <si>
    <t>Plato</t>
  </si>
  <si>
    <t>PVP (€)</t>
  </si>
  <si>
    <t>BANDA</t>
  </si>
  <si>
    <t>Uds vendidas</t>
  </si>
  <si>
    <t>PVP Mínimo (€)</t>
  </si>
  <si>
    <t>Precio medio ofertado</t>
  </si>
  <si>
    <t>PVP Máximo (€)</t>
  </si>
  <si>
    <t>Precio medio solicitado</t>
  </si>
  <si>
    <t>Ratio Dispersión</t>
  </si>
  <si>
    <t>Ratio Intervalo</t>
  </si>
  <si>
    <t>Ratio calidad/precio</t>
  </si>
  <si>
    <t>Nº de Platos</t>
  </si>
  <si>
    <t>Lím. Banda Baja ≤</t>
  </si>
  <si>
    <t>DIAGNÓSTICO</t>
  </si>
  <si>
    <t>Coef. recomendado</t>
  </si>
  <si>
    <t>Lím. Banda Alta ≥</t>
  </si>
  <si>
    <t>ACCIÓN RECOMENDADA</t>
  </si>
  <si>
    <t>RESULTADO</t>
  </si>
  <si>
    <t>Platos Banda Baja</t>
  </si>
  <si>
    <t>Platos Banda Media</t>
  </si>
  <si>
    <t>Platos Banda Alta</t>
  </si>
  <si>
    <t>🎯  PLAN DE ACCIÓN POR CATEGORÍA</t>
  </si>
  <si>
    <t>Usa este plan DESPUÉS de clasificar tu carta en la pestaña 📊 CALCULADORA BCG</t>
  </si>
  <si>
    <t>⭐  ESTRELLAS — Promover al máximo</t>
  </si>
  <si>
    <t>Alta popularidad + Alta rentabilidad. Tu combinación perfecta.</t>
  </si>
  <si>
    <t>📍 Ubica en primera página, esquina superior derecha (zona de mayor lectura).</t>
  </si>
  <si>
    <t>📝 Descripción elaborada: origen, método de cocción, ingredientes clave.</t>
  </si>
  <si>
    <t>📸 Foto profesional si el presupuesto lo permite. Marca con símbolo especial.</t>
  </si>
  <si>
    <t>👨‍🍳 Todos deben probarlas y tener un script de recomendación de 15 segundos.</t>
  </si>
  <si>
    <t>🔒 No bajes el precio. No cambies la receta. Nunca te quedes sin género.</t>
  </si>
  <si>
    <t>📲 Prioritarias en redes. Son tu tarjeta de visita.</t>
  </si>
  <si>
    <t>🐴  CABALLOS DE TIRO — Optimizar rentabilidad</t>
  </si>
  <si>
    <t>Alta popularidad + Baja rentabilidad. Un Caballo de Tiro bien optimizado se convierte en Estrella.</t>
  </si>
  <si>
    <t>💰 Opción 1 — Subir precio 5-10%: Mejora la descripción al mismo tiempo. Si ventas bajan &lt;15%, es éxito.</t>
  </si>
  <si>
    <t>🥬 Opción 2 — Reducir coste MP: Busca sustitutos. Reduce porción hasta 15% mejorando presentación.</t>
  </si>
  <si>
    <t>🆙 Opción 3 — Crear upsell: Extra de pago, versión premium, combo con bebida.</t>
  </si>
  <si>
    <t>📍 Opción 4 — Reposicionar: Muévelo a zona menos visible. Deja el espacio principal a las Estrellas.</t>
  </si>
  <si>
    <t>⚠️  NUNCA elimines un Caballo de Tiro sin intentar optimizarlo antes.</t>
  </si>
  <si>
    <t>🧩  PUZZLES — Test de 30 días</t>
  </si>
  <si>
    <t>Baja popularidad + Alta rentabilidad. ¿No se venden porque nadie los conoce o porque nadie los quiere?</t>
  </si>
  <si>
    <t>📍 Semana 1-2: Reubicar en zona visible. Mejorar descripción. Añadir 'Sugerencia del chef'.</t>
  </si>
  <si>
    <t>👨‍🍳 Semana 2-3: Formación del equipo. Que todos lo prueben. Script + incentivo especial.</t>
  </si>
  <si>
    <t>📲 Semana 3-4: Promoción en redes. Post con foto. Story mostrando preparación.</t>
  </si>
  <si>
    <t>✅ Día 30 — Ventas +50% → Estrella. Mantener mejoras.</t>
  </si>
  <si>
    <t>🔄 Día 30 — Ventas +20-49% → Otro mes de prueba.</t>
  </si>
  <si>
    <t>❌ Día 30 — Ventas &lt;20% → Eliminar. El mercado ha hablado.</t>
  </si>
  <si>
    <t>🐕  PERROS/ZOMBIES — Eliminar sin piedad</t>
  </si>
  <si>
    <t>Baja popularidad + Baja rentabilidad. No se venden y cuando lo hacen, no dejan margen. Te cuestan dinero en inventario, almacenamiento y mermas.</t>
  </si>
  <si>
    <t>❌ Acción principal: Eliminarlos del menú. Menos inventario, menos estrés, más foco en Estrellas.</t>
  </si>
  <si>
    <t>🧪 Excepción 1: Razón estratégica clara (ej. opción infantil). Acéptala conscientemente.</t>
  </si>
  <si>
    <t>📅 Excepción 2: Plato fácil de producir → 'especial del día' puntual. Sin presencia fija en carta.</t>
  </si>
  <si>
    <t>🔄 Excepción 3: Si sospechas visibilidad, dale el test de 30 días antes de eliminarlo.</t>
  </si>
  <si>
    <t>⚠️  'Lo pide un cliente fijo' NO es razón suficiente. Un cliente no justifica pérdidas 30 días al mes.</t>
  </si>
  <si>
    <t>✍️  MIS 3 DECISIONES DE HOY</t>
  </si>
  <si>
    <t>🐕  Un Perro/Zombie que voy a eliminar esta semana:</t>
  </si>
  <si>
    <t>⭐  Una Estrella que voy a mover a mejor posición:</t>
  </si>
  <si>
    <t>🐴  Un Caballo de Tiro al que voy a subir precio o reducir coste:</t>
  </si>
  <si>
    <t>→ Siguiente paso: Módulo 6 — Rediseña tu carta con técnicas de pricing psicológico y un plan de implementación de 30 días.</t>
  </si>
  <si>
    <t>% MARGEN
S/VENTA</t>
  </si>
  <si>
    <t>CONTRIBUCIÓN
TOTAL (€)</t>
  </si>
  <si>
    <t>RENT. POR
% MARGEN</t>
  </si>
  <si>
    <t>POPULAR.
POR CATEG.</t>
  </si>
  <si>
    <t>🎯 ZONA
GRIS</t>
  </si>
  <si>
    <t>🏆 BCG
MEJORADO</t>
  </si>
  <si>
    <t>📊  RESUMEN CARTA MEJORADO</t>
  </si>
  <si>
    <t>% Food Cost ponderado</t>
  </si>
  <si>
    <t>% Margen medio</t>
  </si>
  <si>
    <t>BCG MEJORADO (% + categoría)</t>
  </si>
  <si>
    <t>⚠️ En zona gris</t>
  </si>
  <si>
    <t>ANÁLISIS MEJORADO</t>
  </si>
  <si>
    <t>Benef. Caballos (€)</t>
  </si>
  <si>
    <t>Benef. Puzzles (€)</t>
  </si>
  <si>
    <t>Benef. Perros (€)</t>
  </si>
  <si>
    <t>COMPARATIVA CLÁSICO vs MEJORADO</t>
  </si>
  <si>
    <t>Platos que cambian clasif.</t>
  </si>
  <si>
    <t>% platos que cambian</t>
  </si>
  <si>
    <t>TOP CONTRIBUCIÓN TOTAL</t>
  </si>
  <si>
    <t>Mayor contribuidor (€)</t>
  </si>
  <si>
    <t>Nombre mayor contribuidor</t>
  </si>
  <si>
    <t>Menor contribuidor (€)</t>
  </si>
  <si>
    <t>Esta calculadora clasifica automáticamente TODOS los platos de tu carta usando la metodología Menu Engineering (Matriz BCG) en DOS versiones: la clásica (basada en margen €) y una versión mejorada que usa % de margen y popularidad por categoría, evitando sesgos hacia platos caros. Introduce los datos de cada plato y el sistema te dice exactamente qué promover, qué optimizar, qué testear y qué eliminar — basándose en datos reales, no en intuición.</t>
  </si>
  <si>
    <t>Margen de contribución, % coste, índice de popularidad, clasificación BCG clásica, % margen sobre venta, contribución total (€ × volumen), rentabilidad por %, popularidad por categoría, zona gris y BCG Mejorado se calculan solos. El panel de resumen se actualiza en tiempo real.</t>
  </si>
  <si>
    <t>🏆  BCG MEJORADO — QUÉ CAMBIA Y POR QUÉ</t>
  </si>
  <si>
    <t>La columna M (BCG Clásico) usa el modelo original de Kasavana &amp; Smith (1982): mide rentabilidad en € absolutos y popularidad global. Es útil como referencia académica, pero tiene limitaciones que la columna S (BCG Mejorado) corrige:</t>
  </si>
  <si>
    <t>MEJORA</t>
  </si>
  <si>
    <t>COLUMNA</t>
  </si>
  <si>
    <t>QUÉ RESUELVE</t>
  </si>
  <si>
    <t>% Margen sobre venta</t>
  </si>
  <si>
    <t>Col N</t>
  </si>
  <si>
    <t>El BCG clásico mide en €, lo que favorece platos caros. Un plato de 26€ con 42% food cost aparece como “rentable” mientras uno de 18€ con 28% food cost sale “poco rentable”. El % margen corrige este sesgo.</t>
  </si>
  <si>
    <t>Contribución total (€×vol)</t>
  </si>
  <si>
    <t>Col O</t>
  </si>
  <si>
    <t>Muestra cuántos € reales aporta cada plato al negocio (margen × unidades). Un Caballo con 164 ventas puede aportar más que una Estrella con 68. Antes de subir precio a un Caballo, mira su contribución total.</t>
  </si>
  <si>
    <t>Popularidad por categoría</t>
  </si>
  <si>
    <t>Col Q</t>
  </si>
  <si>
    <t>El BCG clásico mezcla tapas con principales. Una tapa nunca venderá como un principal — no es comparable. La popularidad por categoría compara cada plato SOLO contra los de su misma categoría (Kasavana &amp; Smith lo recomiendan).</t>
  </si>
  <si>
    <t>Zona Gris (±5% de la media)</t>
  </si>
  <si>
    <t>Col R</t>
  </si>
  <si>
    <t>Un plato a 0.01€ de la media cambia de cuadrante. La zona gris (⚠️) marca platos cuyo margen está a ±5% del promedio: su clasificación puede cambiar con pequeñas variaciones. Trata estos platos con cautela.</t>
  </si>
  <si>
    <t>📖  CÓMO INTERPRETAR AMBAS CLASIFICACIONES</t>
  </si>
  <si>
    <t>• Si Col M y Col S coinciden: la clasificación es firme, actúa con confianza según el Plan de Acción.</t>
  </si>
  <si>
    <t>• Si Col M y Col S NO coinciden: prioriza la columna S (BCG Mejorado) para decisiones. El BCG clásico te sirve como segunda opinión.</t>
  </si>
  <si>
    <t>• Si un plato tiene ⚠️ ZONA GRIS: no tomes decisiones drásticas (eliminar/cambiar precio). Monitoriza 1 mes más antes de actuar.</t>
  </si>
  <si>
    <t>• Mira siempre la columna O (Contribución Total) antes de eliminar un Caballo o un Perro. Si contribuye mucho en € totales, piensa dos veces.</t>
  </si>
  <si>
    <t>LEYENDA BCG CLÁSICO (Col M): ⭐ ESTRELLA = Popular + Rentable (€)  |  🐴 CABALLO = Popular + Poco rentable (€)  |  🧩 PUZZLE = Poco popular + Rentable (€)  |  🐕 PERRO = Ni popular ni rentable (€)     ·     BCG MEJORADO (Col S): Usa % margen + popularidad por categoría. ⚠️ ZONA GRIS = margen a ±5% de la media, clasificación frágil.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</si>
</sst>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€&quot;"/>
    <numFmt numFmtId="165" formatCode="0.0%"/>
    <numFmt numFmtId="166" formatCode="0.000"/>
    <numFmt numFmtId="167" formatCode="#0.00"/>
  </numFmts>
  <fonts count="58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4"/>
      <color rgb="FFE94560"/>
      <name val="Arial"/>
      <charset val="1"/>
    </font>
    <font>
      <b/>
      <sz val="12"/>
      <color rgb="FFFFFFFF"/>
      <name val="Arial"/>
      <charset val="1"/>
    </font>
    <font>
      <sz val="10"/>
      <color rgb="FF1A1A2E"/>
      <name val="Arial"/>
      <charset val="1"/>
    </font>
    <font>
      <b/>
      <sz val="11"/>
      <color rgb="FFF5A623"/>
      <name val="Arial"/>
      <charset val="1"/>
    </font>
    <font>
      <b/>
      <sz val="11"/>
      <color rgb="FF155724"/>
      <name val="Arial"/>
      <charset val="1"/>
    </font>
    <font>
      <b/>
      <sz val="11"/>
      <color rgb="FF0C5460"/>
      <name val="Arial"/>
      <charset val="1"/>
    </font>
    <font>
      <b/>
      <i/>
      <sz val="9"/>
      <color rgb="FF1A1A2E"/>
      <name val="Arial"/>
      <charset val="1"/>
    </font>
    <font>
      <sz val="9"/>
      <color rgb="FF1A1A2E"/>
      <name val="Arial"/>
      <charset val="1"/>
    </font>
    <font>
      <b/>
      <sz val="11"/>
      <color rgb="FF721C24"/>
      <name val="Arial"/>
      <charset val="1"/>
    </font>
    <font>
      <b/>
      <sz val="18"/>
      <color rgb="FFFFFFFF"/>
      <name val="Arial"/>
      <charset val="1"/>
    </font>
    <font>
      <b/>
      <sz val="10"/>
      <color rgb="FF1A1A2E"/>
      <name val="Arial"/>
      <charset val="1"/>
    </font>
    <font>
      <sz val="9"/>
      <color rgb="FF0070C0"/>
      <name val="Arial"/>
      <charset val="1"/>
    </font>
    <font>
      <sz val="9"/>
      <color rgb="FF856404"/>
      <name val="Arial"/>
      <charset val="1"/>
    </font>
    <font>
      <sz val="9"/>
      <color rgb="FF155724"/>
      <name val="Arial"/>
      <charset val="1"/>
    </font>
    <font>
      <sz val="9"/>
      <color rgb="FF0C5460"/>
      <name val="Arial"/>
      <charset val="1"/>
    </font>
    <font>
      <sz val="9"/>
      <color rgb="FF721C24"/>
      <name val="Arial"/>
      <charset val="1"/>
    </font>
    <font>
      <b/>
      <sz val="9"/>
      <color rgb="FF7B3F00"/>
      <name val="Arial"/>
      <charset val="1"/>
    </font>
    <font>
      <b/>
      <u/>
      <sz val="10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9AA0AC"/>
      <name val="Arial"/>
      <charset val="1"/>
    </font>
    <font>
      <b/>
      <sz val="9"/>
      <color rgb="FFFFFFFF"/>
      <name val="Arial"/>
      <charset val="1"/>
    </font>
    <font>
      <sz val="9"/>
      <color rgb="FF9AA0AC"/>
      <name val="Arial"/>
      <charset val="1"/>
    </font>
    <font>
      <b/>
      <sz val="9"/>
      <color rgb="FF1A1A2E"/>
      <name val="Arial"/>
      <charset val="1"/>
    </font>
    <font>
      <i/>
      <sz val="8"/>
      <color rgb="FF1A1A2E"/>
      <name val="Arial"/>
      <charset val="1"/>
    </font>
    <font>
      <b/>
      <u/>
      <sz val="11"/>
      <color rgb="FFFFFFFF"/>
      <name val="Arial"/>
      <charset val="1"/>
    </font>
    <font>
      <sz val="8"/>
      <color rgb="FF1A1A2E"/>
      <name val="Arial"/>
      <charset val="1"/>
    </font>
    <font>
      <b/>
      <sz val="12"/>
      <color rgb="FF1A1A2E"/>
      <name val="Arial"/>
      <charset val="1"/>
    </font>
    <font>
      <i/>
      <sz val="9"/>
      <color rgb="FF856404"/>
      <name val="Arial"/>
      <charset val="1"/>
    </font>
    <font>
      <b/>
      <sz val="12"/>
      <color rgb="FFD4EDDA"/>
      <name val="Arial"/>
      <charset val="1"/>
    </font>
    <font>
      <i/>
      <sz val="9"/>
      <color rgb="FF155724"/>
      <name val="Arial"/>
      <charset val="1"/>
    </font>
    <font>
      <b/>
      <sz val="12"/>
      <color rgb="FFD1ECF1"/>
      <name val="Arial"/>
      <charset val="1"/>
    </font>
    <font>
      <i/>
      <sz val="9"/>
      <color rgb="FF0C5460"/>
      <name val="Arial"/>
      <charset val="1"/>
    </font>
    <font>
      <b/>
      <sz val="12"/>
      <color rgb="FFF8D7DA"/>
      <name val="Arial"/>
      <charset val="1"/>
    </font>
    <font>
      <i/>
      <sz val="9"/>
      <color rgb="FF721C24"/>
      <name val="Arial"/>
      <charset val="1"/>
    </font>
    <font>
      <b/>
      <sz val="9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11"/>
      <color rgb="FFFFFFFF"/>
      <name val="Arial"/>
    </font>
    <font>
      <b/>
      <sz val="11"/>
      <color rgb="FFFFFFFF"/>
      <name val="Calibri"/>
      <family val="2"/>
      <charset val="1"/>
    </font>
    <font>
      <i/>
      <sz val="8"/>
      <color rgb="FF9AA0AC"/>
      <name val="Arial"/>
    </font>
    <font>
      <sz val="8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1A1A2E"/>
      <name val="Arial"/>
    </font>
    <font>
      <b/>
      <sz val="9"/>
      <color rgb="FF1A1A2E"/>
      <name val="Arial"/>
    </font>
    <font>
      <sz val="9"/>
      <color rgb="FF856404"/>
      <name val="Arial"/>
    </font>
    <font>
      <b/>
      <sz val="9"/>
      <color rgb="FF856404"/>
      <name val="Arial"/>
    </font>
    <font>
      <sz val="9"/>
      <color rgb="FF155724"/>
      <name val="Arial"/>
    </font>
    <font>
      <b/>
      <sz val="9"/>
      <color rgb="FF155724"/>
      <name val="Arial"/>
    </font>
    <font>
      <sz val="9"/>
      <color rgb="FF0C5460"/>
      <name val="Arial"/>
    </font>
    <font>
      <b/>
      <sz val="9"/>
      <color rgb="FF0C5460"/>
      <name val="Arial"/>
    </font>
    <font>
      <sz val="9"/>
      <color rgb="FF721C24"/>
      <name val="Arial"/>
    </font>
    <font>
      <b/>
      <sz val="9"/>
      <color rgb="FF721C24"/>
      <name val="Arial"/>
    </font>
    <font>
      <b/>
      <sz val="9"/>
      <color rgb="FFE94560"/>
      <name val="Arial"/>
    </font>
    <font>
      <b/>
      <sz val="12"/>
      <color rgb="FFFFFFFF"/>
      <name val="Arial"/>
    </font>
    <font>
      <sz val="10"/>
      <color rgb="FF1A1A2E"/>
      <name val="Arial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94560"/>
        <bgColor rgb="FF993366"/>
      </patternFill>
    </fill>
    <fill>
      <patternFill patternType="solid">
        <fgColor rgb="FF16213E"/>
        <bgColor rgb="FF1A1A2E"/>
      </patternFill>
    </fill>
    <fill>
      <patternFill patternType="solid">
        <fgColor rgb="FFF7F8FA"/>
        <bgColor rgb="FFFFFFFF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4EDDA"/>
      </patternFill>
    </fill>
    <fill>
      <patternFill patternType="solid">
        <fgColor rgb="FFF8D7DA"/>
        <bgColor rgb="FFE2E5EA"/>
      </patternFill>
    </fill>
    <fill>
      <patternFill patternType="solid">
        <fgColor rgb="FFE2E5EA"/>
        <bgColor rgb="FFD1ECF1"/>
      </patternFill>
    </fill>
    <fill>
      <patternFill patternType="solid">
        <fgColor rgb="FFEBF3FB"/>
        <bgColor rgb="FFF7F8FA"/>
      </patternFill>
    </fill>
    <fill>
      <patternFill patternType="solid">
        <fgColor rgb="FFFFF3CD"/>
        <bgColor rgb="FFF7F8FA"/>
      </patternFill>
    </fill>
    <fill>
      <patternFill patternType="solid">
        <fgColor rgb="FFFFFFFF"/>
        <bgColor rgb="FFF7F8FA"/>
      </patternFill>
    </fill>
    <fill>
      <patternFill patternType="solid">
        <fgColor rgb="FFF5A623"/>
        <bgColor rgb="FFFFCC00"/>
      </patternFill>
    </fill>
    <fill>
      <patternFill patternType="solid">
        <fgColor rgb="FF155724"/>
        <bgColor rgb="FF0C5460"/>
      </patternFill>
    </fill>
    <fill>
      <patternFill patternType="solid">
        <fgColor rgb="FF0C5460"/>
        <bgColor rgb="FF155724"/>
      </patternFill>
    </fill>
    <fill>
      <patternFill patternType="solid">
        <fgColor rgb="FF721C24"/>
        <bgColor rgb="FF800000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E6"/>
        <bgColor indexed="64"/>
      </patternFill>
    </fill>
  </fills>
  <borders count="10">
    <border>
      <left/>
      <right/>
      <top/>
      <bottom/>
      <diagonal/>
    </border>
    <border>
      <left style="thin">
        <color rgb="FFE2E5EA"/>
      </left>
      <right/>
      <top style="thin">
        <color rgb="FFE2E5EA"/>
      </top>
      <bottom style="thin">
        <color rgb="FFE2E5EA"/>
      </bottom>
      <diagonal/>
    </border>
    <border>
      <left style="thin">
        <color rgb="FFE2E5EA"/>
      </left>
      <right style="thin">
        <color rgb="FFE2E5EA"/>
      </right>
      <top style="thin">
        <color rgb="FFE2E5EA"/>
      </top>
      <bottom style="thin">
        <color rgb="FFE2E5EA"/>
      </bottom>
      <diagonal/>
    </border>
    <border>
      <left style="medium">
        <color rgb="FF1A1A2E"/>
      </left>
      <right/>
      <top style="medium">
        <color rgb="FF1A1A2E"/>
      </top>
      <bottom style="medium">
        <color rgb="FF1A1A2E"/>
      </bottom>
      <diagonal/>
    </border>
    <border>
      <left style="thin">
        <color rgb="FF1A1A2E"/>
      </left>
      <right style="thin">
        <color rgb="FFE2E5EA"/>
      </right>
      <top style="thin">
        <color rgb="FF1A1A2E"/>
      </top>
      <bottom style="thin">
        <color rgb="FFE2E5EA"/>
      </bottom>
      <diagonal/>
    </border>
    <border>
      <left style="thin">
        <color rgb="FF1A1A2E"/>
      </left>
      <right style="thin">
        <color rgb="FFE2E5EA"/>
      </right>
      <top style="thin">
        <color rgb="FFE2E5EA"/>
      </top>
      <bottom style="thin">
        <color rgb="FFE2E5EA"/>
      </bottom>
      <diagonal/>
    </border>
    <border>
      <left style="thin">
        <color rgb="FF1A1A2E"/>
      </left>
      <right style="thin">
        <color rgb="FFE2E5EA"/>
      </right>
      <top style="thin">
        <color rgb="FFE2E5EA"/>
      </top>
      <bottom style="thin">
        <color rgb="FF1A1A2E"/>
      </bottom>
      <diagonal/>
    </border>
    <border>
      <left style="thin">
        <color rgb="FFE2E5EA"/>
      </left>
      <right style="thin">
        <color rgb="FF1A1A2E"/>
      </right>
      <top style="thin">
        <color rgb="FF1A1A2E"/>
      </top>
      <bottom style="thin">
        <color rgb="FFE2E5EA"/>
      </bottom>
      <diagonal/>
    </border>
    <border>
      <left style="thin">
        <color rgb="FFE2E5EA"/>
      </left>
      <right style="thin">
        <color rgb="FF1A1A2E"/>
      </right>
      <top style="thin">
        <color rgb="FFE2E5EA"/>
      </top>
      <bottom style="thin">
        <color rgb="FFE2E5EA"/>
      </bottom>
      <diagonal/>
    </border>
    <border>
      <left style="thin">
        <color rgb="FFE2E5EA"/>
      </left>
      <right style="thin">
        <color rgb="FF1A1A2E"/>
      </right>
      <top style="thin">
        <color rgb="FFE2E5EA"/>
      </top>
      <bottom style="thin">
        <color rgb="FF1A1A2E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8" fillId="8" borderId="0" xfId="0" applyFont="1" applyFill="1" applyAlignment="1" applyProtection="1">
      <alignment horizontal="center" vertical="center"/>
      <protection hidden="1"/>
    </xf>
    <xf numFmtId="0" fontId="10" fillId="8" borderId="0" xfId="0" applyFont="1" applyFill="1" applyAlignment="1" applyProtection="1">
      <alignment horizontal="center" vertical="center"/>
      <protection hidden="1"/>
    </xf>
    <xf numFmtId="0" fontId="9" fillId="5" borderId="0" xfId="0" applyFont="1" applyFill="1" applyAlignment="1" applyProtection="1">
      <alignment horizontal="left" vertical="top" wrapText="1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8" fillId="6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7" fillId="7" borderId="0" xfId="0" applyFont="1" applyFill="1" applyAlignment="1" applyProtection="1">
      <alignment horizontal="center" vertical="center"/>
      <protection hidden="1"/>
    </xf>
    <xf numFmtId="0" fontId="6" fillId="6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left" vertical="center" wrapText="1"/>
      <protection hidden="1"/>
    </xf>
    <xf numFmtId="0" fontId="3" fillId="4" borderId="0" xfId="0" applyFont="1" applyFill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3" fillId="4" borderId="2" xfId="0" applyFont="1" applyFill="1" applyBorder="1" applyAlignment="1" applyProtection="1">
      <alignment horizontal="center" vertical="center" wrapText="1"/>
      <protection hidden="1"/>
    </xf>
    <xf numFmtId="0" fontId="23" fillId="2" borderId="2" xfId="0" applyFont="1" applyFill="1" applyBorder="1" applyAlignment="1" applyProtection="1">
      <alignment horizontal="left" vertical="center" wrapText="1"/>
      <protection hidden="1"/>
    </xf>
    <xf numFmtId="0" fontId="23" fillId="2" borderId="2" xfId="0" applyFont="1" applyFill="1" applyBorder="1" applyAlignment="1" applyProtection="1">
      <alignment horizontal="center" vertical="center" wrapText="1"/>
      <protection hidden="1"/>
    </xf>
    <xf numFmtId="0" fontId="23" fillId="3" borderId="2" xfId="0" applyFont="1" applyFill="1" applyBorder="1" applyAlignment="1" applyProtection="1">
      <alignment horizontal="center" vertical="center" wrapText="1"/>
      <protection hidden="1"/>
    </xf>
    <xf numFmtId="0" fontId="23" fillId="2" borderId="1" xfId="0" applyFont="1" applyFill="1" applyBorder="1" applyAlignment="1" applyProtection="1">
      <alignment horizontal="center" vertical="center"/>
      <protection hidden="1"/>
    </xf>
    <xf numFmtId="0" fontId="24" fillId="12" borderId="2" xfId="0" applyFont="1" applyFill="1" applyBorder="1" applyAlignment="1" applyProtection="1">
      <alignment horizontal="center" vertical="center"/>
      <protection hidden="1"/>
    </xf>
    <xf numFmtId="0" fontId="13" fillId="10" borderId="2" xfId="0" applyFont="1" applyFill="1" applyBorder="1" applyAlignment="1" applyProtection="1">
      <alignment horizontal="left" vertical="center"/>
      <protection locked="0"/>
    </xf>
    <xf numFmtId="0" fontId="13" fillId="10" borderId="2" xfId="0" applyFont="1" applyFill="1" applyBorder="1" applyAlignment="1" applyProtection="1">
      <alignment horizontal="center" vertical="center"/>
      <protection locked="0"/>
    </xf>
    <xf numFmtId="3" fontId="13" fillId="10" borderId="2" xfId="0" applyNumberFormat="1" applyFont="1" applyFill="1" applyBorder="1" applyAlignment="1" applyProtection="1">
      <alignment horizontal="center" vertical="center"/>
      <protection locked="0"/>
    </xf>
    <xf numFmtId="164" fontId="13" fillId="10" borderId="2" xfId="0" applyNumberFormat="1" applyFont="1" applyFill="1" applyBorder="1" applyAlignment="1" applyProtection="1">
      <alignment horizontal="center" vertical="center"/>
      <protection locked="0"/>
    </xf>
    <xf numFmtId="164" fontId="25" fillId="12" borderId="2" xfId="0" applyNumberFormat="1" applyFont="1" applyFill="1" applyBorder="1" applyAlignment="1" applyProtection="1">
      <alignment horizontal="center" vertical="center"/>
      <protection hidden="1"/>
    </xf>
    <xf numFmtId="165" fontId="9" fillId="12" borderId="2" xfId="0" applyNumberFormat="1" applyFont="1" applyFill="1" applyBorder="1" applyAlignment="1" applyProtection="1">
      <alignment horizontal="center" vertical="center"/>
      <protection hidden="1"/>
    </xf>
    <xf numFmtId="10" fontId="9" fillId="12" borderId="2" xfId="0" applyNumberFormat="1" applyFont="1" applyFill="1" applyBorder="1" applyAlignment="1" applyProtection="1">
      <alignment horizontal="center" vertical="center"/>
      <protection hidden="1"/>
    </xf>
    <xf numFmtId="0" fontId="9" fillId="12" borderId="2" xfId="0" applyFont="1" applyFill="1" applyBorder="1" applyAlignment="1" applyProtection="1">
      <alignment horizontal="center" vertical="center"/>
      <protection hidden="1"/>
    </xf>
    <xf numFmtId="0" fontId="24" fillId="5" borderId="2" xfId="0" applyFont="1" applyFill="1" applyBorder="1" applyAlignment="1" applyProtection="1">
      <alignment horizontal="center" vertical="center"/>
      <protection hidden="1"/>
    </xf>
    <xf numFmtId="164" fontId="25" fillId="5" borderId="2" xfId="0" applyNumberFormat="1" applyFont="1" applyFill="1" applyBorder="1" applyAlignment="1" applyProtection="1">
      <alignment horizontal="center" vertical="center"/>
      <protection hidden="1"/>
    </xf>
    <xf numFmtId="165" fontId="9" fillId="5" borderId="2" xfId="0" applyNumberFormat="1" applyFont="1" applyFill="1" applyBorder="1" applyAlignment="1" applyProtection="1">
      <alignment horizontal="center" vertical="center"/>
      <protection hidden="1"/>
    </xf>
    <xf numFmtId="10" fontId="9" fillId="5" borderId="2" xfId="0" applyNumberFormat="1" applyFont="1" applyFill="1" applyBorder="1" applyAlignment="1" applyProtection="1">
      <alignment horizontal="center" vertical="center"/>
      <protection hidden="1"/>
    </xf>
    <xf numFmtId="0" fontId="9" fillId="5" borderId="2" xfId="0" applyFont="1" applyFill="1" applyBorder="1" applyAlignment="1" applyProtection="1">
      <alignment horizontal="center" vertical="center"/>
      <protection hidden="1"/>
    </xf>
    <xf numFmtId="3" fontId="23" fillId="2" borderId="2" xfId="0" applyNumberFormat="1" applyFont="1" applyFill="1" applyBorder="1" applyAlignment="1" applyProtection="1">
      <alignment horizontal="center" vertical="center"/>
      <protection hidden="1"/>
    </xf>
    <xf numFmtId="0" fontId="23" fillId="2" borderId="2" xfId="0" applyFont="1" applyFill="1" applyBorder="1" applyAlignment="1" applyProtection="1">
      <alignment horizontal="center" vertical="center"/>
      <protection hidden="1"/>
    </xf>
    <xf numFmtId="164" fontId="23" fillId="2" borderId="2" xfId="0" applyNumberFormat="1" applyFont="1" applyFill="1" applyBorder="1" applyAlignment="1" applyProtection="1">
      <alignment horizontal="center" vertical="center"/>
      <protection hidden="1"/>
    </xf>
    <xf numFmtId="165" fontId="23" fillId="2" borderId="2" xfId="0" applyNumberFormat="1" applyFont="1" applyFill="1" applyBorder="1" applyAlignment="1" applyProtection="1">
      <alignment horizontal="center" vertical="center"/>
      <protection hidden="1"/>
    </xf>
    <xf numFmtId="0" fontId="4" fillId="12" borderId="2" xfId="0" applyFont="1" applyFill="1" applyBorder="1" applyAlignment="1" applyProtection="1">
      <alignment horizontal="left" vertical="center"/>
      <protection hidden="1"/>
    </xf>
    <xf numFmtId="0" fontId="4" fillId="5" borderId="2" xfId="0" applyFont="1" applyFill="1" applyBorder="1" applyAlignment="1" applyProtection="1">
      <alignment horizontal="left" vertical="center"/>
      <protection hidden="1"/>
    </xf>
    <xf numFmtId="0" fontId="9" fillId="9" borderId="2" xfId="0" applyFont="1" applyFill="1" applyBorder="1" applyAlignment="1" applyProtection="1">
      <alignment horizontal="left" vertical="center"/>
      <protection hidden="1"/>
    </xf>
    <xf numFmtId="164" fontId="9" fillId="5" borderId="2" xfId="0" applyNumberFormat="1" applyFont="1" applyFill="1" applyBorder="1" applyAlignment="1" applyProtection="1">
      <alignment horizontal="center" vertical="center"/>
      <protection hidden="1"/>
    </xf>
    <xf numFmtId="2" fontId="9" fillId="5" borderId="2" xfId="0" applyNumberFormat="1" applyFont="1" applyFill="1" applyBorder="1" applyAlignment="1" applyProtection="1">
      <alignment horizontal="center" vertical="center"/>
      <protection hidden="1"/>
    </xf>
    <xf numFmtId="0" fontId="23" fillId="3" borderId="2" xfId="0" applyFont="1" applyFill="1" applyBorder="1" applyAlignment="1" applyProtection="1">
      <alignment horizontal="left" vertical="center"/>
      <protection hidden="1"/>
    </xf>
    <xf numFmtId="0" fontId="23" fillId="3" borderId="1" xfId="0" applyFont="1" applyFill="1" applyBorder="1" applyAlignment="1" applyProtection="1">
      <alignment horizontal="center" vertical="center" wrapText="1"/>
      <protection hidden="1"/>
    </xf>
    <xf numFmtId="0" fontId="23" fillId="3" borderId="2" xfId="0" applyFon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2" fillId="9" borderId="0" xfId="0" applyFont="1" applyFill="1" applyAlignment="1" applyProtection="1">
      <alignment horizontal="left" vertical="center"/>
      <protection hidden="1"/>
    </xf>
    <xf numFmtId="0" fontId="9" fillId="5" borderId="0" xfId="0" applyFont="1" applyFill="1" applyAlignment="1" applyProtection="1">
      <alignment horizontal="left" vertical="center" wrapText="1"/>
      <protection hidden="1"/>
    </xf>
    <xf numFmtId="0" fontId="13" fillId="10" borderId="1" xfId="0" applyFont="1" applyFill="1" applyBorder="1" applyAlignment="1" applyProtection="1">
      <alignment horizontal="left" vertical="center"/>
      <protection hidden="1"/>
    </xf>
    <xf numFmtId="0" fontId="9" fillId="5" borderId="0" xfId="0" applyFont="1" applyFill="1" applyAlignment="1" applyProtection="1">
      <alignment horizontal="left" vertical="center"/>
      <protection hidden="1"/>
    </xf>
    <xf numFmtId="0" fontId="9" fillId="9" borderId="1" xfId="0" applyFont="1" applyFill="1" applyBorder="1" applyAlignment="1" applyProtection="1">
      <alignment horizontal="left" vertical="center"/>
      <protection hidden="1"/>
    </xf>
    <xf numFmtId="0" fontId="14" fillId="11" borderId="1" xfId="0" applyFont="1" applyFill="1" applyBorder="1" applyAlignment="1" applyProtection="1">
      <alignment horizontal="left" vertical="center"/>
      <protection hidden="1"/>
    </xf>
    <xf numFmtId="0" fontId="15" fillId="6" borderId="1" xfId="0" applyFont="1" applyFill="1" applyBorder="1" applyAlignment="1" applyProtection="1">
      <alignment horizontal="left" vertical="center"/>
      <protection hidden="1"/>
    </xf>
    <xf numFmtId="0" fontId="16" fillId="7" borderId="1" xfId="0" applyFont="1" applyFill="1" applyBorder="1" applyAlignment="1" applyProtection="1">
      <alignment horizontal="left" vertical="center"/>
      <protection hidden="1"/>
    </xf>
    <xf numFmtId="0" fontId="17" fillId="8" borderId="1" xfId="0" applyFont="1" applyFill="1" applyBorder="1" applyAlignment="1" applyProtection="1">
      <alignment horizontal="left" vertical="center"/>
      <protection hidden="1"/>
    </xf>
    <xf numFmtId="0" fontId="18" fillId="11" borderId="1" xfId="0" applyFont="1" applyFill="1" applyBorder="1" applyAlignment="1" applyProtection="1">
      <alignment horizontal="left" vertical="center" wrapText="1"/>
      <protection hidden="1"/>
    </xf>
    <xf numFmtId="0" fontId="19" fillId="3" borderId="1" xfId="0" applyFont="1" applyFill="1" applyBorder="1" applyAlignment="1" applyProtection="1">
      <alignment horizontal="center" vertic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21" fillId="2" borderId="0" xfId="0" applyFont="1" applyFill="1" applyAlignment="1" applyProtection="1">
      <alignment horizontal="center" vertical="center"/>
      <protection hidden="1"/>
    </xf>
    <xf numFmtId="0" fontId="22" fillId="4" borderId="0" xfId="0" applyFont="1" applyFill="1" applyAlignment="1" applyProtection="1">
      <alignment horizontal="center" vertical="center"/>
      <protection hidden="1"/>
    </xf>
    <xf numFmtId="0" fontId="23" fillId="2" borderId="1" xfId="0" applyFont="1" applyFill="1" applyBorder="1" applyAlignment="1" applyProtection="1">
      <alignment horizontal="center" vertical="center"/>
      <protection hidden="1"/>
    </xf>
    <xf numFmtId="0" fontId="26" fillId="9" borderId="1" xfId="0" applyFont="1" applyFill="1" applyBorder="1" applyAlignment="1" applyProtection="1">
      <alignment horizontal="left" vertical="center"/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hidden="1"/>
    </xf>
    <xf numFmtId="0" fontId="27" fillId="3" borderId="1" xfId="0" applyFont="1" applyFill="1" applyBorder="1" applyAlignment="1" applyProtection="1">
      <alignment horizontal="center" vertical="center"/>
      <protection hidden="1"/>
    </xf>
    <xf numFmtId="0" fontId="21" fillId="4" borderId="0" xfId="0" applyFont="1" applyFill="1" applyAlignment="1" applyProtection="1">
      <alignment horizontal="left" vertical="center"/>
      <protection hidden="1"/>
    </xf>
    <xf numFmtId="0" fontId="28" fillId="5" borderId="0" xfId="0" applyFont="1" applyFill="1" applyAlignment="1" applyProtection="1">
      <alignment horizontal="left" vertical="center" wrapText="1"/>
      <protection hidden="1"/>
    </xf>
    <xf numFmtId="164" fontId="9" fillId="5" borderId="1" xfId="0" applyNumberFormat="1" applyFont="1" applyFill="1" applyBorder="1" applyAlignment="1" applyProtection="1">
      <alignment horizontal="center" vertical="center" wrapText="1"/>
      <protection hidden="1"/>
    </xf>
    <xf numFmtId="166" fontId="9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23" fillId="3" borderId="1" xfId="0" applyFont="1" applyFill="1" applyBorder="1" applyAlignment="1" applyProtection="1">
      <alignment horizontal="center" vertical="center" wrapText="1"/>
      <protection hidden="1"/>
    </xf>
    <xf numFmtId="0" fontId="29" fillId="13" borderId="3" xfId="0" applyFont="1" applyFill="1" applyBorder="1" applyAlignment="1" applyProtection="1">
      <alignment horizontal="left" vertical="center"/>
      <protection hidden="1"/>
    </xf>
    <xf numFmtId="0" fontId="30" fillId="11" borderId="1" xfId="0" applyFont="1" applyFill="1" applyBorder="1" applyAlignment="1" applyProtection="1">
      <alignment horizontal="left" vertical="center" wrapText="1"/>
      <protection hidden="1"/>
    </xf>
    <xf numFmtId="0" fontId="9" fillId="12" borderId="1" xfId="0" applyFont="1" applyFill="1" applyBorder="1" applyAlignment="1" applyProtection="1">
      <alignment horizontal="left" vertical="center" wrapText="1"/>
      <protection hidden="1"/>
    </xf>
    <xf numFmtId="0" fontId="9" fillId="5" borderId="1" xfId="0" applyFont="1" applyFill="1" applyBorder="1" applyAlignment="1" applyProtection="1">
      <alignment horizontal="left" vertical="center" wrapText="1"/>
      <protection hidden="1"/>
    </xf>
    <xf numFmtId="0" fontId="31" fillId="14" borderId="3" xfId="0" applyFont="1" applyFill="1" applyBorder="1" applyAlignment="1" applyProtection="1">
      <alignment horizontal="left" vertical="center"/>
      <protection hidden="1"/>
    </xf>
    <xf numFmtId="0" fontId="32" fillId="6" borderId="1" xfId="0" applyFont="1" applyFill="1" applyBorder="1" applyAlignment="1" applyProtection="1">
      <alignment horizontal="left" vertical="center" wrapText="1"/>
      <protection hidden="1"/>
    </xf>
    <xf numFmtId="0" fontId="33" fillId="15" borderId="3" xfId="0" applyFont="1" applyFill="1" applyBorder="1" applyAlignment="1" applyProtection="1">
      <alignment horizontal="left" vertical="center"/>
      <protection hidden="1"/>
    </xf>
    <xf numFmtId="0" fontId="34" fillId="7" borderId="1" xfId="0" applyFont="1" applyFill="1" applyBorder="1" applyAlignment="1" applyProtection="1">
      <alignment horizontal="left" vertical="center" wrapText="1"/>
      <protection hidden="1"/>
    </xf>
    <xf numFmtId="0" fontId="35" fillId="16" borderId="3" xfId="0" applyFont="1" applyFill="1" applyBorder="1" applyAlignment="1" applyProtection="1">
      <alignment horizontal="left" vertical="center"/>
      <protection hidden="1"/>
    </xf>
    <xf numFmtId="0" fontId="36" fillId="8" borderId="1" xfId="0" applyFont="1" applyFill="1" applyBorder="1" applyAlignment="1" applyProtection="1">
      <alignment horizontal="left" vertical="center" wrapText="1"/>
      <protection hidden="1"/>
    </xf>
    <xf numFmtId="0" fontId="21" fillId="2" borderId="1" xfId="0" applyFont="1" applyFill="1" applyBorder="1" applyAlignment="1" applyProtection="1">
      <alignment horizontal="center" vertical="center"/>
      <protection hidden="1"/>
    </xf>
    <xf numFmtId="0" fontId="25" fillId="10" borderId="1" xfId="0" applyFont="1" applyFill="1" applyBorder="1" applyAlignment="1" applyProtection="1">
      <alignment horizontal="left" vertical="center"/>
      <protection hidden="1"/>
    </xf>
    <xf numFmtId="0" fontId="13" fillId="10" borderId="1" xfId="0" applyFont="1" applyFill="1" applyBorder="1" applyAlignment="1" applyProtection="1">
      <alignment horizontal="left" vertical="center"/>
      <protection locked="0"/>
    </xf>
    <xf numFmtId="0" fontId="0" fillId="24" borderId="0" xfId="0" applyFill="1"/>
    <xf numFmtId="0" fontId="0" fillId="26" borderId="0" xfId="0" applyFill="1"/>
    <xf numFmtId="0" fontId="45" fillId="23" borderId="0" xfId="0" applyFont="1" applyFill="1"/>
    <xf numFmtId="0" fontId="46" fillId="23" borderId="0" xfId="0" applyFont="1" applyFill="1"/>
    <xf numFmtId="0" fontId="25" fillId="12" borderId="1" xfId="0" applyFont="1" applyFill="1" applyBorder="1" applyAlignment="1" applyProtection="1">
      <alignment horizontal="center" vertical="center"/>
      <protection hidden="1"/>
    </xf>
    <xf numFmtId="0" fontId="25" fillId="5" borderId="1" xfId="0" applyFont="1" applyFill="1" applyBorder="1" applyAlignment="1" applyProtection="1">
      <alignment horizontal="center" vertical="center"/>
      <protection hidden="1"/>
    </xf>
    <xf numFmtId="165" fontId="38" fillId="23" borderId="2" xfId="0" applyNumberFormat="1" applyFont="1" applyFill="1" applyBorder="1" applyAlignment="1" applyProtection="1">
      <alignment horizontal="center"/>
      <protection hidden="1"/>
    </xf>
    <xf numFmtId="4" fontId="38" fillId="23" borderId="2" xfId="0" applyNumberFormat="1" applyFont="1" applyFill="1" applyBorder="1" applyAlignment="1">
      <alignment horizontal="center"/>
    </xf>
    <xf numFmtId="0" fontId="38" fillId="23" borderId="2" xfId="0" applyFont="1" applyFill="1" applyBorder="1" applyAlignment="1">
      <alignment horizontal="center"/>
    </xf>
    <xf numFmtId="165" fontId="37" fillId="21" borderId="2" xfId="0" applyNumberFormat="1" applyFont="1" applyFill="1" applyBorder="1" applyAlignment="1" applyProtection="1">
      <alignment horizontal="center" wrapText="1"/>
      <protection hidden="1"/>
    </xf>
    <xf numFmtId="4" fontId="37" fillId="21" borderId="2" xfId="0" applyNumberFormat="1" applyFont="1" applyFill="1" applyBorder="1" applyAlignment="1">
      <alignment horizontal="center" wrapText="1"/>
    </xf>
    <xf numFmtId="0" fontId="37" fillId="21" borderId="2" xfId="0" applyFont="1" applyFill="1" applyBorder="1" applyAlignment="1">
      <alignment horizontal="center" wrapText="1"/>
    </xf>
    <xf numFmtId="165" fontId="37" fillId="24" borderId="2" xfId="0" applyNumberFormat="1" applyFont="1" applyFill="1" applyBorder="1" applyAlignment="1" applyProtection="1">
      <alignment horizontal="center"/>
      <protection hidden="1"/>
    </xf>
    <xf numFmtId="4" fontId="37" fillId="24" borderId="2" xfId="0" applyNumberFormat="1" applyFont="1" applyFill="1" applyBorder="1" applyAlignment="1" applyProtection="1">
      <alignment horizontal="center"/>
      <protection hidden="1"/>
    </xf>
    <xf numFmtId="0" fontId="0" fillId="24" borderId="2" xfId="0" applyFill="1" applyBorder="1" applyProtection="1">
      <protection hidden="1"/>
    </xf>
    <xf numFmtId="0" fontId="0" fillId="24" borderId="2" xfId="0" applyFill="1" applyBorder="1"/>
    <xf numFmtId="0" fontId="37" fillId="22" borderId="2" xfId="0" applyFont="1" applyFill="1" applyBorder="1" applyAlignment="1">
      <alignment horizontal="center" wrapText="1"/>
    </xf>
    <xf numFmtId="0" fontId="39" fillId="23" borderId="2" xfId="0" applyFont="1" applyFill="1" applyBorder="1" applyAlignment="1">
      <alignment horizontal="center"/>
    </xf>
    <xf numFmtId="0" fontId="40" fillId="24" borderId="4" xfId="0" applyFont="1" applyFill="1" applyBorder="1" applyAlignment="1">
      <alignment horizontal="center"/>
    </xf>
    <xf numFmtId="0" fontId="42" fillId="25" borderId="5" xfId="0" applyFont="1" applyFill="1" applyBorder="1" applyAlignment="1">
      <alignment horizontal="center"/>
    </xf>
    <xf numFmtId="0" fontId="0" fillId="21" borderId="5" xfId="0" applyFill="1" applyBorder="1"/>
    <xf numFmtId="0" fontId="0" fillId="26" borderId="5" xfId="0" applyFill="1" applyBorder="1"/>
    <xf numFmtId="0" fontId="37" fillId="24" borderId="5" xfId="0" applyFont="1" applyFill="1" applyBorder="1" applyAlignment="1">
      <alignment horizontal="center" wrapText="1"/>
    </xf>
    <xf numFmtId="0" fontId="45" fillId="23" borderId="5" xfId="0" applyFont="1" applyFill="1" applyBorder="1"/>
    <xf numFmtId="0" fontId="37" fillId="22" borderId="5" xfId="0" applyFont="1" applyFill="1" applyBorder="1" applyAlignment="1">
      <alignment horizontal="center"/>
    </xf>
    <xf numFmtId="0" fontId="47" fillId="17" borderId="5" xfId="0" applyFont="1" applyFill="1" applyBorder="1"/>
    <xf numFmtId="0" fontId="49" fillId="19" borderId="5" xfId="0" applyFont="1" applyFill="1" applyBorder="1"/>
    <xf numFmtId="0" fontId="51" fillId="20" borderId="5" xfId="0" applyFont="1" applyFill="1" applyBorder="1"/>
    <xf numFmtId="0" fontId="53" fillId="18" borderId="5" xfId="0" applyFont="1" applyFill="1" applyBorder="1"/>
    <xf numFmtId="0" fontId="47" fillId="27" borderId="5" xfId="0" applyFont="1" applyFill="1" applyBorder="1"/>
    <xf numFmtId="0" fontId="37" fillId="21" borderId="5" xfId="0" applyFont="1" applyFill="1" applyBorder="1" applyAlignment="1">
      <alignment horizontal="center"/>
    </xf>
    <xf numFmtId="0" fontId="37" fillId="25" borderId="5" xfId="0" applyFont="1" applyFill="1" applyBorder="1" applyAlignment="1">
      <alignment horizontal="center"/>
    </xf>
    <xf numFmtId="0" fontId="45" fillId="23" borderId="6" xfId="0" applyFont="1" applyFill="1" applyBorder="1"/>
    <xf numFmtId="0" fontId="41" fillId="24" borderId="7" xfId="0" applyFont="1" applyFill="1" applyBorder="1"/>
    <xf numFmtId="0" fontId="43" fillId="25" borderId="8" xfId="0" applyFont="1" applyFill="1" applyBorder="1"/>
    <xf numFmtId="0" fontId="0" fillId="21" borderId="8" xfId="0" applyFill="1" applyBorder="1"/>
    <xf numFmtId="0" fontId="0" fillId="26" borderId="8" xfId="0" applyFill="1" applyBorder="1"/>
    <xf numFmtId="0" fontId="46" fillId="23" borderId="8" xfId="0" applyFont="1" applyFill="1" applyBorder="1" applyAlignment="1">
      <alignment horizontal="center"/>
    </xf>
    <xf numFmtId="3" fontId="46" fillId="23" borderId="8" xfId="0" applyNumberFormat="1" applyFont="1" applyFill="1" applyBorder="1" applyAlignment="1">
      <alignment horizontal="center"/>
    </xf>
    <xf numFmtId="4" fontId="46" fillId="23" borderId="8" xfId="0" applyNumberFormat="1" applyFont="1" applyFill="1" applyBorder="1" applyAlignment="1">
      <alignment horizontal="center"/>
    </xf>
    <xf numFmtId="165" fontId="46" fillId="23" borderId="8" xfId="0" applyNumberFormat="1" applyFont="1" applyFill="1" applyBorder="1" applyAlignment="1">
      <alignment horizontal="center"/>
    </xf>
    <xf numFmtId="167" fontId="46" fillId="23" borderId="8" xfId="0" applyNumberFormat="1" applyFont="1" applyFill="1" applyBorder="1" applyAlignment="1">
      <alignment horizontal="center"/>
    </xf>
    <xf numFmtId="0" fontId="44" fillId="22" borderId="8" xfId="0" applyFont="1" applyFill="1" applyBorder="1"/>
    <xf numFmtId="0" fontId="48" fillId="17" borderId="8" xfId="0" applyFont="1" applyFill="1" applyBorder="1" applyAlignment="1">
      <alignment horizontal="center"/>
    </xf>
    <xf numFmtId="0" fontId="50" fillId="19" borderId="8" xfId="0" applyFont="1" applyFill="1" applyBorder="1" applyAlignment="1">
      <alignment horizontal="center"/>
    </xf>
    <xf numFmtId="0" fontId="52" fillId="20" borderId="8" xfId="0" applyFont="1" applyFill="1" applyBorder="1" applyAlignment="1">
      <alignment horizontal="center"/>
    </xf>
    <xf numFmtId="0" fontId="54" fillId="18" borderId="8" xfId="0" applyFont="1" applyFill="1" applyBorder="1" applyAlignment="1">
      <alignment horizontal="center"/>
    </xf>
    <xf numFmtId="0" fontId="48" fillId="27" borderId="8" xfId="0" applyFont="1" applyFill="1" applyBorder="1" applyAlignment="1">
      <alignment horizontal="center"/>
    </xf>
    <xf numFmtId="0" fontId="44" fillId="21" borderId="8" xfId="0" applyFont="1" applyFill="1" applyBorder="1"/>
    <xf numFmtId="0" fontId="55" fillId="23" borderId="8" xfId="0" applyFont="1" applyFill="1" applyBorder="1" applyAlignment="1">
      <alignment horizontal="center"/>
    </xf>
    <xf numFmtId="165" fontId="55" fillId="23" borderId="8" xfId="0" applyNumberFormat="1" applyFont="1" applyFill="1" applyBorder="1" applyAlignment="1">
      <alignment horizontal="center"/>
    </xf>
    <xf numFmtId="0" fontId="44" fillId="25" borderId="8" xfId="0" applyFont="1" applyFill="1" applyBorder="1"/>
    <xf numFmtId="4" fontId="55" fillId="23" borderId="9" xfId="0" applyNumberFormat="1" applyFont="1" applyFill="1" applyBorder="1" applyAlignment="1">
      <alignment horizontal="center"/>
    </xf>
    <xf numFmtId="0" fontId="44" fillId="24" borderId="8" xfId="0" applyFont="1" applyFill="1" applyBorder="1" applyAlignment="1">
      <alignment horizontal="center" wrapText="1"/>
    </xf>
    <xf numFmtId="0" fontId="56" fillId="22" borderId="0" xfId="0" applyFont="1" applyFill="1" applyAlignment="1">
      <alignment horizontal="center"/>
    </xf>
    <xf numFmtId="0" fontId="0" fillId="22" borderId="0" xfId="0" applyFill="1"/>
    <xf numFmtId="0" fontId="57" fillId="23" borderId="0" xfId="0" applyFont="1" applyFill="1"/>
    <xf numFmtId="0" fontId="0" fillId="23" borderId="0" xfId="0" applyFill="1"/>
    <xf numFmtId="0" fontId="37" fillId="24" borderId="0" xfId="0" applyFont="1" applyFill="1" applyAlignment="1">
      <alignment horizontal="center"/>
    </xf>
    <xf numFmtId="0" fontId="45" fillId="23" borderId="0" xfId="0" applyFont="1" applyFill="1" applyAlignment="1">
      <alignment horizontal="center"/>
    </xf>
    <xf numFmtId="0" fontId="56" fillId="25" borderId="0" xfId="0" applyFont="1" applyFill="1" applyAlignment="1">
      <alignment horizontal="center"/>
    </xf>
    <xf numFmtId="0" fontId="0" fillId="25" borderId="0" xfId="0" applyFill="1"/>
  </cellXfs>
  <cellStyles count="1">
    <cellStyle name="Normal" xfId="0" builtinId="0"/>
  </cellStyles>
  <dxfs count="4">
    <dxf>
      <font>
        <sz val="9"/>
        <color rgb="FF721C24"/>
        <name val="Arial"/>
        <charset val="1"/>
      </font>
      <fill>
        <patternFill>
          <bgColor rgb="FFF8D7DA"/>
        </patternFill>
      </fill>
    </dxf>
    <dxf>
      <font>
        <sz val="9"/>
        <color rgb="FF0C5460"/>
        <name val="Arial"/>
        <charset val="1"/>
      </font>
      <fill>
        <patternFill>
          <bgColor rgb="FFD1ECF1"/>
        </patternFill>
      </fill>
    </dxf>
    <dxf>
      <font>
        <sz val="9"/>
        <color rgb="FF155724"/>
        <name val="Arial"/>
        <charset val="1"/>
      </font>
      <fill>
        <patternFill>
          <bgColor rgb="FFD4EDDA"/>
        </patternFill>
      </fill>
    </dxf>
    <dxf>
      <font>
        <sz val="9"/>
        <color rgb="FF856404"/>
        <name val="Arial"/>
        <charset val="1"/>
      </font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3CD"/>
      <rgbColor rgb="FFD1ECF1"/>
      <rgbColor rgb="FF660066"/>
      <rgbColor rgb="FFFF8080"/>
      <rgbColor rgb="FF0070C0"/>
      <rgbColor rgb="FFE2E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4EDDA"/>
      <rgbColor rgb="FFF7F8FA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5A623"/>
      <rgbColor rgb="FFE94560"/>
      <rgbColor rgb="FF666699"/>
      <rgbColor rgb="FF9AA0AC"/>
      <rgbColor rgb="FF0C5460"/>
      <rgbColor rgb="FF339966"/>
      <rgbColor rgb="FF155724"/>
      <rgbColor rgb="FF1A1A2E"/>
      <rgbColor rgb="FF7B3F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180289</xdr:colOff>
      <xdr:row>0</xdr:row>
      <xdr:rowOff>1</xdr:rowOff>
    </xdr:from>
    <xdr:to>
      <xdr:col>1</xdr:col>
      <xdr:colOff>1638301</xdr:colOff>
      <xdr:row>2</xdr:row>
      <xdr:rowOff>313614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E62457-9A0A-DA70-45C3-A3693EE56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54" b="17646"/>
        <a:stretch>
          <a:fillRect/>
        </a:stretch>
      </xdr:blipFill>
      <xdr:spPr>
        <a:xfrm>
          <a:off x="323164" y="1"/>
          <a:ext cx="1458012" cy="1021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314325</xdr:rowOff>
    </xdr:from>
    <xdr:to>
      <xdr:col>2</xdr:col>
      <xdr:colOff>958850</xdr:colOff>
      <xdr:row>4</xdr:row>
      <xdr:rowOff>211744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BDA0E-85A9-4C20-ACCD-D0D3FF3A5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54" b="17646"/>
        <a:stretch>
          <a:fillRect/>
        </a:stretch>
      </xdr:blipFill>
      <xdr:spPr>
        <a:xfrm>
          <a:off x="361950" y="409575"/>
          <a:ext cx="1092200" cy="7641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28575</xdr:rowOff>
    </xdr:from>
    <xdr:to>
      <xdr:col>1</xdr:col>
      <xdr:colOff>1314450</xdr:colOff>
      <xdr:row>3</xdr:row>
      <xdr:rowOff>11719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2FF48-9B07-43BC-898D-4BDB45706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54" b="17646"/>
        <a:stretch>
          <a:fillRect/>
        </a:stretch>
      </xdr:blipFill>
      <xdr:spPr>
        <a:xfrm>
          <a:off x="361950" y="28575"/>
          <a:ext cx="1095375" cy="7641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47625</xdr:rowOff>
    </xdr:from>
    <xdr:to>
      <xdr:col>1</xdr:col>
      <xdr:colOff>873470</xdr:colOff>
      <xdr:row>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13756-D281-4036-A924-A1999C2FB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54" b="17646"/>
        <a:stretch>
          <a:fillRect/>
        </a:stretch>
      </xdr:blipFill>
      <xdr:spPr>
        <a:xfrm>
          <a:off x="257175" y="47625"/>
          <a:ext cx="75917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2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C17462-D39D-4700-AD4A-C9A7A90EA77F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lmetodo360.com/diagnostico-gratuito/" TargetMode="External"/><Relationship Id="rId1" Type="http://schemas.openxmlformats.org/officeDocument/2006/relationships/hyperlink" Target="https://elmetodo360.com/diagnostico-gratuit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showGridLines="0" tabSelected="1" topLeftCell="A49" zoomScaleNormal="100" workbookViewId="0">
      <selection activeCell="M7" sqref="M7"/>
    </sheetView>
  </sheetViews>
  <sheetFormatPr defaultColWidth="8.6328125" defaultRowHeight="14.5" x14ac:dyDescent="0.35"/>
  <cols>
    <col min="1" max="1" width="2" customWidth="1"/>
    <col min="2" max="2" width="28" customWidth="1"/>
    <col min="3" max="7" width="22" customWidth="1"/>
    <col min="8" max="8" width="2" customWidth="1"/>
  </cols>
  <sheetData>
    <row r="1" spans="1:7" ht="9.75" customHeight="1" x14ac:dyDescent="0.35">
      <c r="A1" s="15"/>
      <c r="B1" s="15"/>
      <c r="C1" s="15"/>
      <c r="D1" s="15"/>
      <c r="E1" s="15"/>
      <c r="F1" s="15"/>
      <c r="G1" s="15"/>
    </row>
    <row r="2" spans="1:7" ht="45.75" customHeight="1" x14ac:dyDescent="0.35">
      <c r="A2" s="15"/>
      <c r="B2" s="14" t="s">
        <v>0</v>
      </c>
      <c r="C2" s="14"/>
      <c r="D2" s="14"/>
      <c r="E2" s="14"/>
      <c r="F2" s="14"/>
      <c r="G2" s="14"/>
    </row>
    <row r="3" spans="1:7" ht="27.75" customHeight="1" x14ac:dyDescent="0.35">
      <c r="A3" s="15"/>
      <c r="B3" s="13" t="s">
        <v>1</v>
      </c>
      <c r="C3" s="13"/>
      <c r="D3" s="13"/>
      <c r="E3" s="13"/>
      <c r="F3" s="13"/>
      <c r="G3" s="13"/>
    </row>
    <row r="4" spans="1:7" ht="3.75" customHeight="1" x14ac:dyDescent="0.35">
      <c r="A4" s="15"/>
      <c r="B4" s="12"/>
      <c r="C4" s="12"/>
      <c r="D4" s="12"/>
      <c r="E4" s="12"/>
      <c r="F4" s="12"/>
      <c r="G4" s="12"/>
    </row>
    <row r="5" spans="1:7" ht="12" customHeight="1" x14ac:dyDescent="0.35">
      <c r="A5" s="15"/>
      <c r="B5" s="15"/>
      <c r="C5" s="15"/>
      <c r="D5" s="15"/>
      <c r="E5" s="15"/>
      <c r="F5" s="15"/>
      <c r="G5" s="15"/>
    </row>
    <row r="6" spans="1:7" ht="30" customHeight="1" x14ac:dyDescent="0.35">
      <c r="A6" s="15"/>
      <c r="B6" s="11" t="s">
        <v>2</v>
      </c>
      <c r="C6" s="11"/>
      <c r="D6" s="11"/>
      <c r="E6" s="11"/>
      <c r="F6" s="11"/>
      <c r="G6" s="11"/>
    </row>
    <row r="7" spans="1:7" ht="19.5" customHeight="1" x14ac:dyDescent="0.35">
      <c r="A7" s="15"/>
      <c r="B7" s="10" t="s">
        <v>171</v>
      </c>
      <c r="C7" s="10"/>
      <c r="D7" s="10"/>
      <c r="E7" s="10"/>
      <c r="F7" s="10"/>
      <c r="G7" s="10"/>
    </row>
    <row r="8" spans="1:7" ht="19.5" customHeight="1" x14ac:dyDescent="0.35">
      <c r="A8" s="15"/>
      <c r="B8" s="10"/>
      <c r="C8" s="10"/>
      <c r="D8" s="10"/>
      <c r="E8" s="10"/>
      <c r="F8" s="10"/>
      <c r="G8" s="10"/>
    </row>
    <row r="9" spans="1:7" ht="19.5" customHeight="1" x14ac:dyDescent="0.35">
      <c r="A9" s="15"/>
      <c r="B9" s="10"/>
      <c r="C9" s="10"/>
      <c r="D9" s="10"/>
      <c r="E9" s="10"/>
      <c r="F9" s="10"/>
      <c r="G9" s="10"/>
    </row>
    <row r="10" spans="1:7" ht="9.75" customHeight="1" x14ac:dyDescent="0.35">
      <c r="A10" s="15"/>
      <c r="B10" s="15"/>
      <c r="C10" s="15"/>
      <c r="D10" s="15"/>
      <c r="E10" s="15"/>
      <c r="F10" s="15"/>
      <c r="G10" s="15"/>
    </row>
    <row r="11" spans="1:7" ht="30" customHeight="1" x14ac:dyDescent="0.35">
      <c r="A11" s="15"/>
      <c r="B11" s="11" t="s">
        <v>3</v>
      </c>
      <c r="C11" s="11"/>
      <c r="D11" s="11"/>
      <c r="E11" s="11"/>
      <c r="F11" s="11"/>
      <c r="G11" s="11"/>
    </row>
    <row r="12" spans="1:7" ht="30" customHeight="1" x14ac:dyDescent="0.35">
      <c r="A12" s="15"/>
      <c r="B12" s="9" t="s">
        <v>4</v>
      </c>
      <c r="C12" s="9"/>
      <c r="D12" s="8" t="s">
        <v>5</v>
      </c>
      <c r="E12" s="8"/>
      <c r="F12" s="7" t="s">
        <v>6</v>
      </c>
      <c r="G12" s="7"/>
    </row>
    <row r="13" spans="1:7" ht="18" customHeight="1" x14ac:dyDescent="0.35">
      <c r="A13" s="15"/>
      <c r="B13" s="6" t="s">
        <v>7</v>
      </c>
      <c r="C13" s="6"/>
      <c r="D13" s="5" t="s">
        <v>8</v>
      </c>
      <c r="E13" s="5"/>
      <c r="F13" s="4" t="s">
        <v>9</v>
      </c>
      <c r="G13" s="4"/>
    </row>
    <row r="14" spans="1:7" ht="21.75" customHeight="1" x14ac:dyDescent="0.35">
      <c r="A14" s="15"/>
      <c r="B14" s="3" t="s">
        <v>10</v>
      </c>
      <c r="C14" s="3"/>
      <c r="D14" s="3" t="s">
        <v>11</v>
      </c>
      <c r="E14" s="3"/>
      <c r="F14" s="3" t="s">
        <v>12</v>
      </c>
      <c r="G14" s="3"/>
    </row>
    <row r="15" spans="1:7" ht="21.75" customHeight="1" x14ac:dyDescent="0.35">
      <c r="A15" s="15"/>
      <c r="B15" s="3"/>
      <c r="C15" s="3"/>
      <c r="D15" s="3"/>
      <c r="E15" s="3"/>
      <c r="F15" s="3"/>
      <c r="G15" s="3"/>
    </row>
    <row r="16" spans="1:7" ht="30" customHeight="1" x14ac:dyDescent="0.35">
      <c r="A16" s="15"/>
      <c r="B16" s="2" t="s">
        <v>13</v>
      </c>
      <c r="C16" s="2"/>
      <c r="D16" s="15"/>
      <c r="E16" s="15"/>
      <c r="F16" s="15"/>
      <c r="G16" s="15"/>
    </row>
    <row r="17" spans="1:7" ht="18" customHeight="1" x14ac:dyDescent="0.35">
      <c r="A17" s="15"/>
      <c r="B17" s="1" t="s">
        <v>14</v>
      </c>
      <c r="C17" s="1"/>
      <c r="D17" s="15"/>
      <c r="E17" s="15"/>
      <c r="F17" s="15"/>
      <c r="G17" s="15"/>
    </row>
    <row r="18" spans="1:7" ht="21.75" customHeight="1" x14ac:dyDescent="0.35">
      <c r="A18" s="15"/>
      <c r="B18" s="3" t="s">
        <v>15</v>
      </c>
      <c r="C18" s="3"/>
      <c r="D18" s="15"/>
      <c r="E18" s="15"/>
      <c r="F18" s="15"/>
      <c r="G18" s="15"/>
    </row>
    <row r="19" spans="1:7" ht="21.75" customHeight="1" x14ac:dyDescent="0.35">
      <c r="A19" s="15"/>
      <c r="B19" s="3"/>
      <c r="C19" s="3"/>
      <c r="D19" s="15"/>
      <c r="E19" s="15"/>
      <c r="F19" s="15"/>
      <c r="G19" s="15"/>
    </row>
    <row r="20" spans="1:7" ht="9.75" customHeight="1" x14ac:dyDescent="0.35">
      <c r="A20" s="15"/>
      <c r="B20" s="15"/>
      <c r="C20" s="15"/>
      <c r="D20" s="15"/>
      <c r="E20" s="15"/>
      <c r="F20" s="15"/>
      <c r="G20" s="15"/>
    </row>
    <row r="21" spans="1:7" ht="30" customHeight="1" x14ac:dyDescent="0.35">
      <c r="A21" s="15"/>
      <c r="B21" s="11" t="s">
        <v>16</v>
      </c>
      <c r="C21" s="11"/>
      <c r="D21" s="11"/>
      <c r="E21" s="11"/>
      <c r="F21" s="11"/>
      <c r="G21" s="11"/>
    </row>
    <row r="22" spans="1:7" ht="21.75" customHeight="1" x14ac:dyDescent="0.35">
      <c r="A22" s="15"/>
      <c r="B22" s="47" t="s">
        <v>17</v>
      </c>
      <c r="C22" s="48" t="s">
        <v>18</v>
      </c>
      <c r="D22" s="48"/>
      <c r="E22" s="48"/>
      <c r="F22" s="48"/>
      <c r="G22" s="48"/>
    </row>
    <row r="23" spans="1:7" ht="19.5" customHeight="1" x14ac:dyDescent="0.35">
      <c r="A23" s="15"/>
      <c r="B23" s="47"/>
      <c r="C23" s="49" t="s">
        <v>19</v>
      </c>
      <c r="D23" s="49"/>
      <c r="E23" s="49"/>
      <c r="F23" s="49"/>
      <c r="G23" s="49"/>
    </row>
    <row r="24" spans="1:7" ht="6" customHeight="1" x14ac:dyDescent="0.35">
      <c r="A24" s="15"/>
      <c r="B24" s="15"/>
      <c r="C24" s="15"/>
      <c r="D24" s="15"/>
      <c r="E24" s="15"/>
      <c r="F24" s="15"/>
      <c r="G24" s="15"/>
    </row>
    <row r="25" spans="1:7" ht="21.75" customHeight="1" x14ac:dyDescent="0.35">
      <c r="A25" s="15"/>
      <c r="B25" s="47" t="s">
        <v>20</v>
      </c>
      <c r="C25" s="48" t="s">
        <v>21</v>
      </c>
      <c r="D25" s="48"/>
      <c r="E25" s="48"/>
      <c r="F25" s="48"/>
      <c r="G25" s="48"/>
    </row>
    <row r="26" spans="1:7" ht="19.5" customHeight="1" x14ac:dyDescent="0.35">
      <c r="A26" s="15"/>
      <c r="B26" s="47"/>
      <c r="C26" s="49" t="s">
        <v>22</v>
      </c>
      <c r="D26" s="49"/>
      <c r="E26" s="49"/>
      <c r="F26" s="49"/>
      <c r="G26" s="49"/>
    </row>
    <row r="27" spans="1:7" ht="6" customHeight="1" x14ac:dyDescent="0.35">
      <c r="A27" s="15"/>
      <c r="B27" s="15"/>
      <c r="C27" s="15"/>
      <c r="D27" s="15"/>
      <c r="E27" s="15"/>
      <c r="F27" s="15"/>
      <c r="G27" s="15"/>
    </row>
    <row r="28" spans="1:7" ht="21.75" customHeight="1" x14ac:dyDescent="0.35">
      <c r="A28" s="15"/>
      <c r="B28" s="47" t="s">
        <v>23</v>
      </c>
      <c r="C28" s="48" t="s">
        <v>24</v>
      </c>
      <c r="D28" s="48"/>
      <c r="E28" s="48"/>
      <c r="F28" s="48"/>
      <c r="G28" s="48"/>
    </row>
    <row r="29" spans="1:7" ht="19.5" customHeight="1" x14ac:dyDescent="0.35">
      <c r="A29" s="15"/>
      <c r="B29" s="47"/>
      <c r="C29" s="49" t="s">
        <v>172</v>
      </c>
      <c r="D29" s="49"/>
      <c r="E29" s="49"/>
      <c r="F29" s="49"/>
      <c r="G29" s="49"/>
    </row>
    <row r="30" spans="1:7" ht="6" customHeight="1" x14ac:dyDescent="0.35">
      <c r="A30" s="15"/>
      <c r="B30" s="15"/>
      <c r="C30" s="15"/>
      <c r="D30" s="15"/>
      <c r="E30" s="15"/>
      <c r="F30" s="15"/>
      <c r="G30" s="15"/>
    </row>
    <row r="31" spans="1:7" ht="21.75" customHeight="1" x14ac:dyDescent="0.35">
      <c r="A31" s="15"/>
      <c r="B31" s="47" t="s">
        <v>25</v>
      </c>
      <c r="C31" s="48" t="s">
        <v>26</v>
      </c>
      <c r="D31" s="48"/>
      <c r="E31" s="48"/>
      <c r="F31" s="48"/>
      <c r="G31" s="48"/>
    </row>
    <row r="32" spans="1:7" ht="19.5" customHeight="1" x14ac:dyDescent="0.35">
      <c r="A32" s="15"/>
      <c r="B32" s="47"/>
      <c r="C32" s="49" t="s">
        <v>27</v>
      </c>
      <c r="D32" s="49"/>
      <c r="E32" s="49"/>
      <c r="F32" s="49"/>
      <c r="G32" s="49"/>
    </row>
    <row r="33" spans="1:7" ht="6" customHeight="1" x14ac:dyDescent="0.35">
      <c r="A33" s="15"/>
      <c r="B33" s="15"/>
      <c r="C33" s="15"/>
      <c r="D33" s="15"/>
      <c r="E33" s="15"/>
      <c r="F33" s="15"/>
      <c r="G33" s="15"/>
    </row>
    <row r="34" spans="1:7" ht="9.75" customHeight="1" x14ac:dyDescent="0.35">
      <c r="A34" s="15"/>
      <c r="B34" s="15"/>
      <c r="C34" s="15"/>
      <c r="D34" s="15"/>
      <c r="E34" s="15"/>
      <c r="F34" s="15"/>
      <c r="G34" s="15"/>
    </row>
    <row r="35" spans="1:7" ht="30" customHeight="1" x14ac:dyDescent="0.35">
      <c r="A35" s="15"/>
      <c r="B35" s="11" t="s">
        <v>28</v>
      </c>
      <c r="C35" s="11"/>
      <c r="D35" s="11"/>
      <c r="E35" s="11"/>
      <c r="F35" s="11"/>
      <c r="G35" s="11"/>
    </row>
    <row r="36" spans="1:7" ht="19.5" customHeight="1" x14ac:dyDescent="0.35">
      <c r="A36" s="15"/>
      <c r="B36" s="50" t="s">
        <v>29</v>
      </c>
      <c r="C36" s="50"/>
      <c r="D36" s="51" t="s">
        <v>30</v>
      </c>
      <c r="E36" s="51"/>
      <c r="F36" s="51"/>
      <c r="G36" s="51"/>
    </row>
    <row r="37" spans="1:7" ht="19.5" customHeight="1" x14ac:dyDescent="0.35">
      <c r="A37" s="15"/>
      <c r="B37" s="52" t="s">
        <v>29</v>
      </c>
      <c r="C37" s="52"/>
      <c r="D37" s="51" t="s">
        <v>31</v>
      </c>
      <c r="E37" s="51"/>
      <c r="F37" s="51"/>
      <c r="G37" s="51"/>
    </row>
    <row r="38" spans="1:7" ht="19.5" customHeight="1" x14ac:dyDescent="0.35">
      <c r="A38" s="15"/>
      <c r="B38" s="53" t="s">
        <v>29</v>
      </c>
      <c r="C38" s="53"/>
      <c r="D38" s="51" t="s">
        <v>32</v>
      </c>
      <c r="E38" s="51"/>
      <c r="F38" s="51"/>
      <c r="G38" s="51"/>
    </row>
    <row r="39" spans="1:7" ht="19.5" customHeight="1" x14ac:dyDescent="0.35">
      <c r="A39" s="15"/>
      <c r="B39" s="54" t="s">
        <v>29</v>
      </c>
      <c r="C39" s="54"/>
      <c r="D39" s="51" t="s">
        <v>33</v>
      </c>
      <c r="E39" s="51"/>
      <c r="F39" s="51"/>
      <c r="G39" s="51"/>
    </row>
    <row r="40" spans="1:7" ht="19.5" customHeight="1" x14ac:dyDescent="0.35">
      <c r="A40" s="15"/>
      <c r="B40" s="55" t="s">
        <v>29</v>
      </c>
      <c r="C40" s="55"/>
      <c r="D40" s="51" t="s">
        <v>34</v>
      </c>
      <c r="E40" s="51"/>
      <c r="F40" s="51"/>
      <c r="G40" s="51"/>
    </row>
    <row r="41" spans="1:7" ht="19.5" customHeight="1" x14ac:dyDescent="0.35">
      <c r="A41" s="15"/>
      <c r="B41" s="56" t="s">
        <v>29</v>
      </c>
      <c r="C41" s="56"/>
      <c r="D41" s="51" t="s">
        <v>35</v>
      </c>
      <c r="E41" s="51"/>
      <c r="F41" s="51"/>
      <c r="G41" s="51"/>
    </row>
    <row r="42" spans="1:7" ht="9.75" customHeight="1" x14ac:dyDescent="0.35">
      <c r="A42" s="15"/>
      <c r="B42" s="15"/>
      <c r="C42" s="15"/>
      <c r="D42" s="15"/>
      <c r="E42" s="15"/>
      <c r="F42" s="15"/>
      <c r="G42" s="15"/>
    </row>
    <row r="43" spans="1:7" ht="27.75" customHeight="1" x14ac:dyDescent="0.35">
      <c r="A43" s="15"/>
      <c r="B43" s="57" t="s">
        <v>36</v>
      </c>
      <c r="C43" s="57"/>
      <c r="D43" s="57"/>
      <c r="E43" s="57"/>
      <c r="F43" s="57"/>
      <c r="G43" s="57"/>
    </row>
    <row r="44" spans="1:7" ht="27.75" customHeight="1" x14ac:dyDescent="0.35">
      <c r="A44" s="15"/>
    </row>
    <row r="45" spans="1:7" ht="27.75" customHeight="1" x14ac:dyDescent="0.35">
      <c r="A45" s="15"/>
      <c r="B45" s="138" t="s">
        <v>173</v>
      </c>
      <c r="C45" s="139"/>
      <c r="D45" s="139"/>
      <c r="E45" s="139"/>
      <c r="F45" s="139"/>
      <c r="G45" s="139"/>
    </row>
    <row r="46" spans="1:7" ht="27.75" customHeight="1" x14ac:dyDescent="0.35">
      <c r="A46" s="15"/>
      <c r="B46" s="140" t="s">
        <v>174</v>
      </c>
      <c r="C46" s="141"/>
      <c r="D46" s="141"/>
      <c r="E46" s="141"/>
      <c r="F46" s="141"/>
      <c r="G46" s="141"/>
    </row>
    <row r="47" spans="1:7" ht="27.75" customHeight="1" x14ac:dyDescent="0.35">
      <c r="A47" s="15"/>
      <c r="B47" s="85"/>
      <c r="C47" s="85"/>
      <c r="D47" s="85"/>
      <c r="E47" s="85"/>
      <c r="F47" s="85"/>
      <c r="G47" s="85"/>
    </row>
    <row r="48" spans="1:7" ht="27.75" customHeight="1" x14ac:dyDescent="0.35">
      <c r="A48" s="15"/>
      <c r="B48" s="142" t="s">
        <v>175</v>
      </c>
      <c r="C48" s="142" t="s">
        <v>176</v>
      </c>
      <c r="D48" s="84"/>
      <c r="E48" s="142" t="s">
        <v>177</v>
      </c>
      <c r="F48" s="84"/>
      <c r="G48" s="84"/>
    </row>
    <row r="49" spans="1:7" ht="27.75" customHeight="1" x14ac:dyDescent="0.35">
      <c r="A49" s="15"/>
      <c r="B49" s="87" t="s">
        <v>178</v>
      </c>
      <c r="C49" s="143" t="s">
        <v>179</v>
      </c>
      <c r="D49" s="141"/>
      <c r="E49" s="86" t="s">
        <v>180</v>
      </c>
      <c r="F49" s="141"/>
      <c r="G49" s="141"/>
    </row>
    <row r="50" spans="1:7" ht="27.75" customHeight="1" x14ac:dyDescent="0.35">
      <c r="A50" s="15"/>
      <c r="B50" s="87" t="s">
        <v>181</v>
      </c>
      <c r="C50" s="143" t="s">
        <v>182</v>
      </c>
      <c r="D50" s="141"/>
      <c r="E50" s="86" t="s">
        <v>183</v>
      </c>
      <c r="F50" s="141"/>
      <c r="G50" s="141"/>
    </row>
    <row r="51" spans="1:7" ht="27.75" customHeight="1" x14ac:dyDescent="0.35">
      <c r="A51" s="15"/>
      <c r="B51" s="87" t="s">
        <v>184</v>
      </c>
      <c r="C51" s="143" t="s">
        <v>185</v>
      </c>
      <c r="D51" s="141"/>
      <c r="E51" s="86" t="s">
        <v>186</v>
      </c>
      <c r="F51" s="141"/>
      <c r="G51" s="141"/>
    </row>
    <row r="52" spans="1:7" ht="27.75" customHeight="1" x14ac:dyDescent="0.35">
      <c r="A52" s="15"/>
      <c r="B52" s="87" t="s">
        <v>187</v>
      </c>
      <c r="C52" s="143" t="s">
        <v>188</v>
      </c>
      <c r="D52" s="141"/>
      <c r="E52" s="86" t="s">
        <v>189</v>
      </c>
      <c r="F52" s="141"/>
      <c r="G52" s="141"/>
    </row>
    <row r="53" spans="1:7" ht="27.75" customHeight="1" x14ac:dyDescent="0.35">
      <c r="A53" s="15"/>
      <c r="B53" s="85"/>
      <c r="C53" s="85"/>
      <c r="D53" s="85"/>
      <c r="E53" s="85"/>
      <c r="F53" s="85"/>
      <c r="G53" s="85"/>
    </row>
    <row r="54" spans="1:7" ht="27.75" customHeight="1" x14ac:dyDescent="0.35">
      <c r="A54" s="15"/>
      <c r="B54" s="144" t="s">
        <v>190</v>
      </c>
      <c r="C54" s="145"/>
      <c r="D54" s="145"/>
      <c r="E54" s="145"/>
      <c r="F54" s="145"/>
      <c r="G54" s="145"/>
    </row>
    <row r="55" spans="1:7" ht="27.75" customHeight="1" x14ac:dyDescent="0.35">
      <c r="A55" s="15"/>
      <c r="B55" s="87" t="s">
        <v>191</v>
      </c>
      <c r="C55" s="141"/>
      <c r="D55" s="141"/>
      <c r="E55" s="141"/>
      <c r="F55" s="141"/>
      <c r="G55" s="141"/>
    </row>
    <row r="56" spans="1:7" ht="27.75" customHeight="1" x14ac:dyDescent="0.35">
      <c r="A56" s="15"/>
      <c r="B56" s="87" t="s">
        <v>192</v>
      </c>
      <c r="C56" s="141"/>
      <c r="D56" s="141"/>
      <c r="E56" s="141"/>
      <c r="F56" s="141"/>
      <c r="G56" s="141"/>
    </row>
    <row r="57" spans="1:7" ht="27.75" customHeight="1" x14ac:dyDescent="0.35">
      <c r="A57" s="15"/>
      <c r="B57" s="87" t="s">
        <v>193</v>
      </c>
      <c r="C57" s="141"/>
      <c r="D57" s="141"/>
      <c r="E57" s="141"/>
      <c r="F57" s="141"/>
      <c r="G57" s="141"/>
    </row>
    <row r="58" spans="1:7" ht="27.75" customHeight="1" x14ac:dyDescent="0.35">
      <c r="A58" s="15"/>
      <c r="B58" s="87" t="s">
        <v>194</v>
      </c>
      <c r="C58" s="141"/>
      <c r="D58" s="141"/>
      <c r="E58" s="141"/>
      <c r="F58" s="141"/>
      <c r="G58" s="141"/>
    </row>
    <row r="59" spans="1:7" ht="27.75" customHeight="1" x14ac:dyDescent="0.35">
      <c r="A59" s="15"/>
      <c r="B59" s="85"/>
      <c r="C59" s="85"/>
      <c r="D59" s="85"/>
      <c r="E59" s="85"/>
      <c r="F59" s="85"/>
      <c r="G59" s="85"/>
    </row>
    <row r="60" spans="1:7" ht="27.75" customHeight="1" x14ac:dyDescent="0.35">
      <c r="A60" s="15"/>
    </row>
    <row r="61" spans="1:7" ht="27.75" customHeight="1" x14ac:dyDescent="0.35">
      <c r="A61" s="15"/>
    </row>
    <row r="62" spans="1:7" ht="27.75" customHeight="1" x14ac:dyDescent="0.35">
      <c r="A62" s="15"/>
    </row>
    <row r="63" spans="1:7" ht="27.75" customHeight="1" x14ac:dyDescent="0.35">
      <c r="A63" s="15"/>
    </row>
    <row r="64" spans="1:7" ht="27.75" customHeight="1" x14ac:dyDescent="0.35">
      <c r="A64" s="15"/>
    </row>
  </sheetData>
  <sheetProtection algorithmName="SHA-512" hashValue="MJ2gVyeIyscIItb9TgXP+Xa1MtiIMBhelnbYwTF3Wd29acBVG+rONHQdF9dYWpTisbNSRkvYRzqAqNd9LUOJqA==" saltValue="+cA8+nX5qtiIqnk6eERsYg==" spinCount="100000" sheet="1" objects="1" scenarios="1"/>
  <mergeCells count="45">
    <mergeCell ref="B40:C40"/>
    <mergeCell ref="D40:G40"/>
    <mergeCell ref="B41:C41"/>
    <mergeCell ref="D41:G41"/>
    <mergeCell ref="B43:G43"/>
    <mergeCell ref="B37:C37"/>
    <mergeCell ref="D37:G37"/>
    <mergeCell ref="B38:C38"/>
    <mergeCell ref="D38:G38"/>
    <mergeCell ref="B39:C39"/>
    <mergeCell ref="D39:G39"/>
    <mergeCell ref="B31:B32"/>
    <mergeCell ref="C31:G31"/>
    <mergeCell ref="C32:G32"/>
    <mergeCell ref="B35:G35"/>
    <mergeCell ref="B36:C36"/>
    <mergeCell ref="D36:G36"/>
    <mergeCell ref="B25:B26"/>
    <mergeCell ref="C25:G25"/>
    <mergeCell ref="C26:G26"/>
    <mergeCell ref="B28:B29"/>
    <mergeCell ref="C28:G28"/>
    <mergeCell ref="C29:G29"/>
    <mergeCell ref="B18:C19"/>
    <mergeCell ref="B21:G21"/>
    <mergeCell ref="B22:B23"/>
    <mergeCell ref="C22:G22"/>
    <mergeCell ref="C23:G23"/>
    <mergeCell ref="B14:C15"/>
    <mergeCell ref="D14:E15"/>
    <mergeCell ref="F14:G15"/>
    <mergeCell ref="B16:C16"/>
    <mergeCell ref="B17:C17"/>
    <mergeCell ref="B11:G11"/>
    <mergeCell ref="B12:C12"/>
    <mergeCell ref="D12:E12"/>
    <mergeCell ref="F12:G12"/>
    <mergeCell ref="B13:C13"/>
    <mergeCell ref="D13:E13"/>
    <mergeCell ref="F13:G13"/>
    <mergeCell ref="B2:G2"/>
    <mergeCell ref="B3:G3"/>
    <mergeCell ref="B4:G4"/>
    <mergeCell ref="B6:G6"/>
    <mergeCell ref="B7:G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0"/>
  <sheetViews>
    <sheetView showGridLines="0" zoomScaleNormal="100" workbookViewId="0">
      <selection activeCell="B2" sqref="B2:M2"/>
    </sheetView>
  </sheetViews>
  <sheetFormatPr defaultColWidth="8.6328125" defaultRowHeight="14.5" x14ac:dyDescent="0.35"/>
  <cols>
    <col min="1" max="1" width="2" customWidth="1"/>
    <col min="2" max="2" width="5" customWidth="1"/>
    <col min="3" max="3" width="26" customWidth="1"/>
    <col min="4" max="4" width="18" customWidth="1"/>
    <col min="5" max="5" width="15" customWidth="1"/>
    <col min="6" max="7" width="14" customWidth="1"/>
    <col min="8" max="8" width="16" customWidth="1"/>
    <col min="9" max="9" width="13" customWidth="1"/>
    <col min="10" max="10" width="14" customWidth="1"/>
    <col min="11" max="12" width="16" customWidth="1"/>
    <col min="13" max="13" width="20" customWidth="1"/>
    <col min="14" max="19" width="17.26953125" customWidth="1"/>
    <col min="21" max="21" width="33.6328125" customWidth="1"/>
    <col min="22" max="22" width="21.81640625" customWidth="1"/>
  </cols>
  <sheetData>
    <row r="1" spans="1:22" ht="7.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22" ht="27.75" customHeight="1" x14ac:dyDescent="0.35">
      <c r="A2" s="15"/>
      <c r="B2" s="58" t="s">
        <v>37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15"/>
      <c r="O2" s="15"/>
      <c r="P2" s="15"/>
    </row>
    <row r="3" spans="1:22" ht="4.5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2" ht="36" customHeight="1" x14ac:dyDescent="0.35">
      <c r="A4" s="15"/>
      <c r="B4" s="59" t="s">
        <v>38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5"/>
      <c r="U4" s="102" t="s">
        <v>155</v>
      </c>
      <c r="V4" s="117"/>
    </row>
    <row r="5" spans="1:22" ht="18" customHeight="1" x14ac:dyDescent="0.35">
      <c r="A5" s="15"/>
      <c r="B5" s="61" t="s">
        <v>39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15"/>
      <c r="U5" s="103" t="s">
        <v>40</v>
      </c>
      <c r="V5" s="118"/>
    </row>
    <row r="6" spans="1:22" ht="3" customHeight="1" x14ac:dyDescent="0.35">
      <c r="A6" s="15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5"/>
      <c r="U6" s="104"/>
      <c r="V6" s="119"/>
    </row>
    <row r="7" spans="1:22" ht="6" customHeight="1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U7" s="105"/>
      <c r="V7" s="120"/>
    </row>
    <row r="8" spans="1:22" ht="36" customHeight="1" x14ac:dyDescent="0.35">
      <c r="A8" s="15"/>
      <c r="B8" s="16" t="s">
        <v>41</v>
      </c>
      <c r="C8" s="17" t="s">
        <v>42</v>
      </c>
      <c r="D8" s="18" t="s">
        <v>43</v>
      </c>
      <c r="E8" s="16" t="s">
        <v>44</v>
      </c>
      <c r="F8" s="16" t="s">
        <v>45</v>
      </c>
      <c r="G8" s="16" t="s">
        <v>46</v>
      </c>
      <c r="H8" s="19" t="s">
        <v>47</v>
      </c>
      <c r="I8" s="18" t="s">
        <v>48</v>
      </c>
      <c r="J8" s="18" t="s">
        <v>49</v>
      </c>
      <c r="K8" s="18" t="s">
        <v>50</v>
      </c>
      <c r="L8" s="18" t="s">
        <v>51</v>
      </c>
      <c r="M8" s="45" t="s">
        <v>52</v>
      </c>
      <c r="N8" s="93" t="s">
        <v>149</v>
      </c>
      <c r="O8" s="94" t="s">
        <v>150</v>
      </c>
      <c r="P8" s="95" t="s">
        <v>151</v>
      </c>
      <c r="Q8" s="95" t="s">
        <v>152</v>
      </c>
      <c r="R8" s="95" t="s">
        <v>153</v>
      </c>
      <c r="S8" s="100" t="s">
        <v>154</v>
      </c>
      <c r="U8" s="106" t="s">
        <v>53</v>
      </c>
      <c r="V8" s="137"/>
    </row>
    <row r="9" spans="1:22" ht="19.5" customHeight="1" x14ac:dyDescent="0.35">
      <c r="A9" s="15"/>
      <c r="B9" s="21">
        <v>1</v>
      </c>
      <c r="C9" s="22" t="s">
        <v>54</v>
      </c>
      <c r="D9" s="23" t="s">
        <v>55</v>
      </c>
      <c r="E9" s="24">
        <v>83</v>
      </c>
      <c r="F9" s="25">
        <v>24</v>
      </c>
      <c r="G9" s="25">
        <v>9.14</v>
      </c>
      <c r="H9" s="26">
        <f t="shared" ref="H9:H53" si="0">IF(C9="","",F9-G9)</f>
        <v>14.86</v>
      </c>
      <c r="I9" s="27">
        <f t="shared" ref="I9:I53" si="1">IF(C9="","",IFERROR(G9/F9,0))</f>
        <v>0.38083333333333336</v>
      </c>
      <c r="J9" s="28">
        <f t="shared" ref="J9:J53" si="2">IF(C9="","",IFERROR(E9/SUM($E$9:$E$53),0))</f>
        <v>8.8391906283280086E-2</v>
      </c>
      <c r="K9" s="29" t="str">
        <f t="shared" ref="K9:K53" si="3">IF(C9="","",IF(H9&gt;IFERROR(AVERAGEIF($C$9:$C$53,"&lt;&gt;",$H$9:$H$53),0),"ALTA","BAJA"))</f>
        <v>ALTA</v>
      </c>
      <c r="L9" s="29" t="str">
        <f t="shared" ref="L9:L53" si="4">IF(C9="","",IF(J9&gt;0.7*(1/COUNTA($C$9:$C$53)),"ALTA","BAJA"))</f>
        <v>ALTA</v>
      </c>
      <c r="M9" s="88" t="str">
        <f t="shared" ref="M9:M53" si="5">IF(C9="","",IF(AND(K9="ALTA",L9="ALTA"),"ESTRELLA",IF(AND(K9="ALTA",L9="BAJA"),"PUZZLE",IF(AND(K9="BAJA",L9="ALTA"),"CABALLO DE TIRO","PERRO/ZOMBIE"))))</f>
        <v>ESTRELLA</v>
      </c>
      <c r="N9" s="90">
        <f>IF(C9="","",IFERROR((F9-G9)/F9,0))</f>
        <v>0.61916666666666664</v>
      </c>
      <c r="O9" s="91">
        <f>IF(C9="","",E9*H9)</f>
        <v>1233.3799999999999</v>
      </c>
      <c r="P9" s="92" t="str">
        <f>IF(C9="","",IF(N9&gt;IFERROR(AVERAGEIF($C$9:$C$53,"&lt;&gt;",$N$9:$N$53),0),"ALTA","BAJA"))</f>
        <v>BAJA</v>
      </c>
      <c r="Q9" s="92" t="str" cm="1">
        <f t="array" ref="Q9">IF(C9="","",IF(IFERROR(E9/SUMPRODUCT((D$9:D$53=D9)*(E$9:E$53)),0)&gt;0.7*(1/COUNTIF(D$9:D$53,D9)),"ALTA","BAJA"))</f>
        <v>ALTA</v>
      </c>
      <c r="R9" s="92" t="str">
        <f>IF(C9="","",IF(AND(ABS(H9-IFERROR(AVERAGEIF($C$9:$C$53,"&lt;&gt;",$H$9:$H$53),0))&lt;=0.05*IFERROR(AVERAGEIF($C$9:$C$53,"&lt;&gt;",$H$9:$H$53),0)),"⚠️ ZONA GRIS",""))</f>
        <v>⚠️ ZONA GRIS</v>
      </c>
      <c r="S9" s="101" t="str">
        <f>IF(C9="","",IF(AND(P9="ALTA",Q9="ALTA"),"⭐ ESTRELLA",IF(AND(P9="ALTA",Q9="BAJA"),"🧩 PUZZLE",IF(AND(P9="BAJA",Q9="ALTA"),"🐴 CABALLO","🐕 PERRO"))))</f>
        <v>🐴 CABALLO</v>
      </c>
      <c r="U9" s="107" t="s">
        <v>56</v>
      </c>
      <c r="V9" s="121">
        <f>COUNTA(C9:C53)</f>
        <v>11</v>
      </c>
    </row>
    <row r="10" spans="1:22" ht="19.5" customHeight="1" x14ac:dyDescent="0.35">
      <c r="A10" s="15"/>
      <c r="B10" s="30">
        <v>2</v>
      </c>
      <c r="C10" s="22" t="s">
        <v>57</v>
      </c>
      <c r="D10" s="23" t="s">
        <v>55</v>
      </c>
      <c r="E10" s="24">
        <v>22</v>
      </c>
      <c r="F10" s="25">
        <v>22</v>
      </c>
      <c r="G10" s="25">
        <v>8.75</v>
      </c>
      <c r="H10" s="31">
        <f t="shared" si="0"/>
        <v>13.25</v>
      </c>
      <c r="I10" s="32">
        <f t="shared" si="1"/>
        <v>0.39772727272727271</v>
      </c>
      <c r="J10" s="33">
        <f t="shared" si="2"/>
        <v>2.3429179978700747E-2</v>
      </c>
      <c r="K10" s="34" t="str">
        <f t="shared" si="3"/>
        <v>BAJA</v>
      </c>
      <c r="L10" s="34" t="str">
        <f t="shared" si="4"/>
        <v>BAJA</v>
      </c>
      <c r="M10" s="89" t="str">
        <f t="shared" si="5"/>
        <v>PERRO/ZOMBIE</v>
      </c>
      <c r="N10" s="90">
        <f t="shared" ref="N10:N53" si="6">IF(C10="","",IFERROR((F10-G10)/F10,0))</f>
        <v>0.60227272727272729</v>
      </c>
      <c r="O10" s="91">
        <f t="shared" ref="O10:O53" si="7">IF(C10="","",E10*H10)</f>
        <v>291.5</v>
      </c>
      <c r="P10" s="92" t="str">
        <f t="shared" ref="P10:P54" si="8">IF(C10="","",IF(N10&gt;IFERROR(AVERAGEIF($C$9:$C$53,"&lt;&gt;",$N$9:$N$53),0),"ALTA","BAJA"))</f>
        <v>BAJA</v>
      </c>
      <c r="Q10" s="92" t="str" cm="1">
        <f t="array" ref="Q10">IF(C10="","",IF(IFERROR(E10/SUMPRODUCT((D$9:D$53=D10)*(E$9:E$53)),0)&gt;0.7*(1/COUNTIF(D$9:D$53,D10)),"ALTA","BAJA"))</f>
        <v>BAJA</v>
      </c>
      <c r="R10" s="92" t="str">
        <f t="shared" ref="R10:R53" si="9">IF(C10="","",IF(AND(ABS(H10-IFERROR(AVERAGEIF($C$9:$C$53,"&lt;&gt;",$H$9:$H$53),0))&lt;=0.05*IFERROR(AVERAGEIF($C$9:$C$53,"&lt;&gt;",$H$9:$H$53),0)),"⚠️ ZONA GRIS",""))</f>
        <v/>
      </c>
      <c r="S10" s="101" t="str">
        <f t="shared" ref="S10:S53" si="10">IF(C10="","",IF(AND(P10="ALTA",Q10="ALTA"),"⭐ ESTRELLA",IF(AND(P10="ALTA",Q10="BAJA"),"🧩 PUZZLE",IF(AND(P10="BAJA",Q10="ALTA"),"🐴 CABALLO","🐕 PERRO"))))</f>
        <v>🐕 PERRO</v>
      </c>
      <c r="U10" s="107" t="s">
        <v>58</v>
      </c>
      <c r="V10" s="121">
        <f>IFERROR(SUM(E9:E53),0)</f>
        <v>939</v>
      </c>
    </row>
    <row r="11" spans="1:22" ht="19.5" customHeight="1" x14ac:dyDescent="0.35">
      <c r="A11" s="15"/>
      <c r="B11" s="21">
        <v>3</v>
      </c>
      <c r="C11" s="22" t="s">
        <v>59</v>
      </c>
      <c r="D11" s="23" t="s">
        <v>55</v>
      </c>
      <c r="E11" s="24">
        <v>122</v>
      </c>
      <c r="F11" s="25">
        <v>21</v>
      </c>
      <c r="G11" s="25">
        <v>6.03</v>
      </c>
      <c r="H11" s="26">
        <f t="shared" si="0"/>
        <v>14.969999999999999</v>
      </c>
      <c r="I11" s="27">
        <f t="shared" si="1"/>
        <v>0.28714285714285714</v>
      </c>
      <c r="J11" s="28">
        <f t="shared" si="2"/>
        <v>0.12992545260915869</v>
      </c>
      <c r="K11" s="29" t="str">
        <f t="shared" si="3"/>
        <v>ALTA</v>
      </c>
      <c r="L11" s="29" t="str">
        <f t="shared" si="4"/>
        <v>ALTA</v>
      </c>
      <c r="M11" s="88" t="str">
        <f t="shared" si="5"/>
        <v>ESTRELLA</v>
      </c>
      <c r="N11" s="90">
        <f t="shared" si="6"/>
        <v>0.71285714285714286</v>
      </c>
      <c r="O11" s="91">
        <f t="shared" si="7"/>
        <v>1826.34</v>
      </c>
      <c r="P11" s="92" t="str">
        <f t="shared" si="8"/>
        <v>ALTA</v>
      </c>
      <c r="Q11" s="92" t="str" cm="1">
        <f t="array" ref="Q11">IF(C11="","",IF(IFERROR(E11/SUMPRODUCT((D$9:D$53=D11)*(E$9:E$53)),0)&gt;0.7*(1/COUNTIF(D$9:D$53,D11)),"ALTA","BAJA"))</f>
        <v>ALTA</v>
      </c>
      <c r="R11" s="92" t="str">
        <f t="shared" si="9"/>
        <v>⚠️ ZONA GRIS</v>
      </c>
      <c r="S11" s="101" t="str">
        <f t="shared" si="10"/>
        <v>⭐ ESTRELLA</v>
      </c>
      <c r="U11" s="107" t="s">
        <v>60</v>
      </c>
      <c r="V11" s="122" cm="1">
        <f t="array" ref="V11">IFERROR(SUMPRODUCT((E9:E53)*(F9:F53)),0)</f>
        <v>20310</v>
      </c>
    </row>
    <row r="12" spans="1:22" ht="19.5" customHeight="1" x14ac:dyDescent="0.35">
      <c r="A12" s="15"/>
      <c r="B12" s="30">
        <v>4</v>
      </c>
      <c r="C12" s="22" t="s">
        <v>61</v>
      </c>
      <c r="D12" s="23" t="s">
        <v>55</v>
      </c>
      <c r="E12" s="24">
        <v>164</v>
      </c>
      <c r="F12" s="25">
        <v>19</v>
      </c>
      <c r="G12" s="25">
        <v>5.27</v>
      </c>
      <c r="H12" s="31">
        <f t="shared" si="0"/>
        <v>13.73</v>
      </c>
      <c r="I12" s="32">
        <f t="shared" si="1"/>
        <v>0.27736842105263154</v>
      </c>
      <c r="J12" s="33">
        <f t="shared" si="2"/>
        <v>0.17465388711395102</v>
      </c>
      <c r="K12" s="34" t="str">
        <f t="shared" si="3"/>
        <v>BAJA</v>
      </c>
      <c r="L12" s="34" t="str">
        <f t="shared" si="4"/>
        <v>ALTA</v>
      </c>
      <c r="M12" s="89" t="str">
        <f t="shared" si="5"/>
        <v>CABALLO DE TIRO</v>
      </c>
      <c r="N12" s="90">
        <f t="shared" si="6"/>
        <v>0.7226315789473684</v>
      </c>
      <c r="O12" s="91">
        <f t="shared" si="7"/>
        <v>2251.7200000000003</v>
      </c>
      <c r="P12" s="92" t="str">
        <f t="shared" si="8"/>
        <v>ALTA</v>
      </c>
      <c r="Q12" s="92" t="str" cm="1">
        <f t="array" ref="Q12">IF(C12="","",IF(IFERROR(E12/SUMPRODUCT((D$9:D$53=D12)*(E$9:E$53)),0)&gt;0.7*(1/COUNTIF(D$9:D$53,D12)),"ALTA","BAJA"))</f>
        <v>ALTA</v>
      </c>
      <c r="R12" s="92" t="str">
        <f t="shared" si="9"/>
        <v>⚠️ ZONA GRIS</v>
      </c>
      <c r="S12" s="101" t="str">
        <f t="shared" si="10"/>
        <v>⭐ ESTRELLA</v>
      </c>
      <c r="U12" s="107" t="s">
        <v>62</v>
      </c>
      <c r="V12" s="123" cm="1">
        <f t="array" ref="V12">IFERROR(SUMPRODUCT((E9:E53)*(G9:G53)),0)</f>
        <v>6973.3600000000006</v>
      </c>
    </row>
    <row r="13" spans="1:22" ht="19.5" customHeight="1" x14ac:dyDescent="0.35">
      <c r="A13" s="15"/>
      <c r="B13" s="21">
        <v>5</v>
      </c>
      <c r="C13" s="22" t="s">
        <v>63</v>
      </c>
      <c r="D13" s="23" t="s">
        <v>64</v>
      </c>
      <c r="E13" s="24">
        <v>45</v>
      </c>
      <c r="F13" s="25">
        <v>26</v>
      </c>
      <c r="G13" s="25">
        <v>9.8000000000000007</v>
      </c>
      <c r="H13" s="26">
        <f t="shared" si="0"/>
        <v>16.2</v>
      </c>
      <c r="I13" s="27">
        <f t="shared" si="1"/>
        <v>0.37692307692307697</v>
      </c>
      <c r="J13" s="28">
        <f t="shared" si="2"/>
        <v>4.7923322683706068E-2</v>
      </c>
      <c r="K13" s="29" t="str">
        <f t="shared" si="3"/>
        <v>ALTA</v>
      </c>
      <c r="L13" s="29" t="str">
        <f t="shared" si="4"/>
        <v>BAJA</v>
      </c>
      <c r="M13" s="88" t="str">
        <f t="shared" si="5"/>
        <v>PUZZLE</v>
      </c>
      <c r="N13" s="90">
        <f t="shared" si="6"/>
        <v>0.62307692307692308</v>
      </c>
      <c r="O13" s="91">
        <f t="shared" si="7"/>
        <v>729</v>
      </c>
      <c r="P13" s="92" t="str">
        <f t="shared" si="8"/>
        <v>BAJA</v>
      </c>
      <c r="Q13" s="92" t="str" cm="1">
        <f t="array" ref="Q13">IF(C13="","",IF(IFERROR(E13/SUMPRODUCT((D$9:D$53=D13)*(E$9:E$53)),0)&gt;0.7*(1/COUNTIF(D$9:D$53,D13)),"ALTA","BAJA"))</f>
        <v>ALTA</v>
      </c>
      <c r="R13" s="92" t="str">
        <f t="shared" si="9"/>
        <v/>
      </c>
      <c r="S13" s="101" t="str">
        <f t="shared" si="10"/>
        <v>🐴 CABALLO</v>
      </c>
      <c r="U13" s="107" t="s">
        <v>65</v>
      </c>
      <c r="V13" s="123" cm="1">
        <f t="array" ref="V13">IFERROR(SUMPRODUCT((E9:E53)*(IF(H9:H53="",0,H9:H53))),0)</f>
        <v>13336.639999999998</v>
      </c>
    </row>
    <row r="14" spans="1:22" ht="19.5" customHeight="1" x14ac:dyDescent="0.35">
      <c r="A14" s="15"/>
      <c r="B14" s="30">
        <v>6</v>
      </c>
      <c r="C14" s="22" t="s">
        <v>66</v>
      </c>
      <c r="D14" s="23" t="s">
        <v>55</v>
      </c>
      <c r="E14" s="24">
        <v>97</v>
      </c>
      <c r="F14" s="25">
        <v>23</v>
      </c>
      <c r="G14" s="25">
        <v>7.3</v>
      </c>
      <c r="H14" s="31">
        <f t="shared" si="0"/>
        <v>15.7</v>
      </c>
      <c r="I14" s="32">
        <f t="shared" si="1"/>
        <v>0.31739130434782609</v>
      </c>
      <c r="J14" s="33">
        <f t="shared" si="2"/>
        <v>0.1033013844515442</v>
      </c>
      <c r="K14" s="34" t="str">
        <f t="shared" si="3"/>
        <v>ALTA</v>
      </c>
      <c r="L14" s="34" t="str">
        <f t="shared" si="4"/>
        <v>ALTA</v>
      </c>
      <c r="M14" s="89" t="str">
        <f t="shared" si="5"/>
        <v>ESTRELLA</v>
      </c>
      <c r="N14" s="90">
        <f t="shared" si="6"/>
        <v>0.68260869565217386</v>
      </c>
      <c r="O14" s="91">
        <f t="shared" si="7"/>
        <v>1522.8999999999999</v>
      </c>
      <c r="P14" s="92" t="str">
        <f t="shared" si="8"/>
        <v>ALTA</v>
      </c>
      <c r="Q14" s="92" t="str" cm="1">
        <f t="array" ref="Q14">IF(C14="","",IF(IFERROR(E14/SUMPRODUCT((D$9:D$53=D14)*(E$9:E$53)),0)&gt;0.7*(1/COUNTIF(D$9:D$53,D14)),"ALTA","BAJA"))</f>
        <v>ALTA</v>
      </c>
      <c r="R14" s="92" t="str">
        <f t="shared" si="9"/>
        <v/>
      </c>
      <c r="S14" s="101" t="str">
        <f t="shared" si="10"/>
        <v>⭐ ESTRELLA</v>
      </c>
      <c r="U14" s="107" t="s">
        <v>156</v>
      </c>
      <c r="V14" s="124" cm="1">
        <f t="array" ref="V14">IFERROR(SUMPRODUCT((E9:E53)*(G9:G53))/SUMPRODUCT((E9:E53)*(F9:F53)),0)</f>
        <v>0.34334613490891192</v>
      </c>
    </row>
    <row r="15" spans="1:22" ht="19.5" customHeight="1" x14ac:dyDescent="0.35">
      <c r="A15" s="15"/>
      <c r="B15" s="21">
        <v>7</v>
      </c>
      <c r="C15" s="22" t="s">
        <v>67</v>
      </c>
      <c r="D15" s="23" t="s">
        <v>55</v>
      </c>
      <c r="E15" s="24">
        <v>131</v>
      </c>
      <c r="F15" s="25">
        <v>21</v>
      </c>
      <c r="G15" s="25">
        <v>8.1999999999999993</v>
      </c>
      <c r="H15" s="26">
        <f t="shared" si="0"/>
        <v>12.8</v>
      </c>
      <c r="I15" s="27">
        <f t="shared" si="1"/>
        <v>0.39047619047619042</v>
      </c>
      <c r="J15" s="28">
        <f t="shared" si="2"/>
        <v>0.13951011714589989</v>
      </c>
      <c r="K15" s="29" t="str">
        <f t="shared" si="3"/>
        <v>BAJA</v>
      </c>
      <c r="L15" s="29" t="str">
        <f t="shared" si="4"/>
        <v>ALTA</v>
      </c>
      <c r="M15" s="88" t="str">
        <f t="shared" si="5"/>
        <v>CABALLO DE TIRO</v>
      </c>
      <c r="N15" s="90">
        <f t="shared" si="6"/>
        <v>0.60952380952380958</v>
      </c>
      <c r="O15" s="91">
        <f t="shared" si="7"/>
        <v>1676.8000000000002</v>
      </c>
      <c r="P15" s="92" t="str">
        <f t="shared" si="8"/>
        <v>BAJA</v>
      </c>
      <c r="Q15" s="92" t="str" cm="1">
        <f t="array" ref="Q15">IF(C15="","",IF(IFERROR(E15/SUMPRODUCT((D$9:D$53=D15)*(E$9:E$53)),0)&gt;0.7*(1/COUNTIF(D$9:D$53,D15)),"ALTA","BAJA"))</f>
        <v>ALTA</v>
      </c>
      <c r="R15" s="92" t="str">
        <f t="shared" si="9"/>
        <v/>
      </c>
      <c r="S15" s="101" t="str">
        <f t="shared" si="10"/>
        <v>🐴 CABALLO</v>
      </c>
      <c r="U15" s="107" t="s">
        <v>157</v>
      </c>
      <c r="V15" s="124">
        <f>IFERROR(AVERAGEIF(C9:C53,"&lt;&gt;",N9:N53),0)</f>
        <v>0.65121844370908244</v>
      </c>
    </row>
    <row r="16" spans="1:22" ht="19.5" customHeight="1" x14ac:dyDescent="0.35">
      <c r="A16" s="15"/>
      <c r="B16" s="30">
        <v>8</v>
      </c>
      <c r="C16" s="22" t="s">
        <v>69</v>
      </c>
      <c r="D16" s="23" t="s">
        <v>55</v>
      </c>
      <c r="E16" s="24">
        <v>75</v>
      </c>
      <c r="F16" s="25">
        <v>26</v>
      </c>
      <c r="G16" s="25">
        <v>11</v>
      </c>
      <c r="H16" s="31">
        <f t="shared" si="0"/>
        <v>15</v>
      </c>
      <c r="I16" s="32">
        <f t="shared" si="1"/>
        <v>0.42307692307692307</v>
      </c>
      <c r="J16" s="33">
        <f t="shared" si="2"/>
        <v>7.9872204472843447E-2</v>
      </c>
      <c r="K16" s="34" t="str">
        <f t="shared" si="3"/>
        <v>ALTA</v>
      </c>
      <c r="L16" s="34" t="str">
        <f t="shared" si="4"/>
        <v>ALTA</v>
      </c>
      <c r="M16" s="89" t="str">
        <f t="shared" si="5"/>
        <v>ESTRELLA</v>
      </c>
      <c r="N16" s="90">
        <f t="shared" si="6"/>
        <v>0.57692307692307687</v>
      </c>
      <c r="O16" s="91">
        <f t="shared" si="7"/>
        <v>1125</v>
      </c>
      <c r="P16" s="92" t="str">
        <f t="shared" si="8"/>
        <v>BAJA</v>
      </c>
      <c r="Q16" s="92" t="str" cm="1">
        <f t="array" ref="Q16">IF(C16="","",IF(IFERROR(E16/SUMPRODUCT((D$9:D$53=D16)*(E$9:E$53)),0)&gt;0.7*(1/COUNTIF(D$9:D$53,D16)),"ALTA","BAJA"))</f>
        <v>ALTA</v>
      </c>
      <c r="R16" s="92" t="str">
        <f t="shared" si="9"/>
        <v/>
      </c>
      <c r="S16" s="101" t="str">
        <f t="shared" si="10"/>
        <v>🐴 CABALLO</v>
      </c>
      <c r="U16" s="107" t="s">
        <v>68</v>
      </c>
      <c r="V16" s="125">
        <f>IFERROR(AVERAGEIF(C9:C53,"&lt;&gt;",H9:H53),0)</f>
        <v>14.264545454545457</v>
      </c>
    </row>
    <row r="17" spans="1:22" ht="19.5" customHeight="1" x14ac:dyDescent="0.35">
      <c r="A17" s="15"/>
      <c r="B17" s="21">
        <v>9</v>
      </c>
      <c r="C17" s="22" t="s">
        <v>70</v>
      </c>
      <c r="D17" s="23" t="s">
        <v>55</v>
      </c>
      <c r="E17" s="24">
        <v>36</v>
      </c>
      <c r="F17" s="25">
        <v>18.5</v>
      </c>
      <c r="G17" s="25">
        <v>5.2</v>
      </c>
      <c r="H17" s="26">
        <f t="shared" si="0"/>
        <v>13.3</v>
      </c>
      <c r="I17" s="27">
        <f t="shared" si="1"/>
        <v>0.2810810810810811</v>
      </c>
      <c r="J17" s="28">
        <f t="shared" si="2"/>
        <v>3.8338658146964855E-2</v>
      </c>
      <c r="K17" s="29" t="str">
        <f t="shared" si="3"/>
        <v>BAJA</v>
      </c>
      <c r="L17" s="29" t="str">
        <f t="shared" si="4"/>
        <v>BAJA</v>
      </c>
      <c r="M17" s="88" t="str">
        <f t="shared" si="5"/>
        <v>PERRO/ZOMBIE</v>
      </c>
      <c r="N17" s="90">
        <f t="shared" si="6"/>
        <v>0.7189189189189189</v>
      </c>
      <c r="O17" s="91">
        <f t="shared" si="7"/>
        <v>478.8</v>
      </c>
      <c r="P17" s="92" t="str">
        <f t="shared" si="8"/>
        <v>ALTA</v>
      </c>
      <c r="Q17" s="92" t="str" cm="1">
        <f t="array" ref="Q17">IF(C17="","",IF(IFERROR(E17/SUMPRODUCT((D$9:D$53=D17)*(E$9:E$53)),0)&gt;0.7*(1/COUNTIF(D$9:D$53,D17)),"ALTA","BAJA"))</f>
        <v>BAJA</v>
      </c>
      <c r="R17" s="92" t="str">
        <f t="shared" si="9"/>
        <v/>
      </c>
      <c r="S17" s="101" t="str">
        <f t="shared" si="10"/>
        <v>🧩 PUZZLE</v>
      </c>
      <c r="U17" s="105"/>
      <c r="V17" s="120"/>
    </row>
    <row r="18" spans="1:22" ht="19.5" customHeight="1" x14ac:dyDescent="0.35">
      <c r="A18" s="15"/>
      <c r="B18" s="30">
        <v>10</v>
      </c>
      <c r="C18" s="22" t="s">
        <v>71</v>
      </c>
      <c r="D18" s="23" t="s">
        <v>55</v>
      </c>
      <c r="E18" s="24">
        <v>96</v>
      </c>
      <c r="F18" s="25">
        <v>19</v>
      </c>
      <c r="G18" s="25">
        <v>6.2</v>
      </c>
      <c r="H18" s="31">
        <f t="shared" si="0"/>
        <v>12.8</v>
      </c>
      <c r="I18" s="32">
        <f t="shared" si="1"/>
        <v>0.32631578947368423</v>
      </c>
      <c r="J18" s="33">
        <f t="shared" si="2"/>
        <v>0.10223642172523961</v>
      </c>
      <c r="K18" s="34" t="str">
        <f t="shared" si="3"/>
        <v>BAJA</v>
      </c>
      <c r="L18" s="34" t="str">
        <f t="shared" si="4"/>
        <v>ALTA</v>
      </c>
      <c r="M18" s="89" t="str">
        <f t="shared" si="5"/>
        <v>CABALLO DE TIRO</v>
      </c>
      <c r="N18" s="90">
        <f t="shared" si="6"/>
        <v>0.67368421052631577</v>
      </c>
      <c r="O18" s="91">
        <f t="shared" si="7"/>
        <v>1228.8000000000002</v>
      </c>
      <c r="P18" s="92" t="str">
        <f t="shared" si="8"/>
        <v>ALTA</v>
      </c>
      <c r="Q18" s="92" t="str" cm="1">
        <f t="array" ref="Q18">IF(C18="","",IF(IFERROR(E18/SUMPRODUCT((D$9:D$53=D18)*(E$9:E$53)),0)&gt;0.7*(1/COUNTIF(D$9:D$53,D18)),"ALTA","BAJA"))</f>
        <v>ALTA</v>
      </c>
      <c r="R18" s="92" t="str">
        <f t="shared" si="9"/>
        <v/>
      </c>
      <c r="S18" s="101" t="str">
        <f t="shared" si="10"/>
        <v>⭐ ESTRELLA</v>
      </c>
      <c r="U18" s="108" t="s">
        <v>158</v>
      </c>
      <c r="V18" s="126"/>
    </row>
    <row r="19" spans="1:22" ht="19.5" customHeight="1" x14ac:dyDescent="0.35">
      <c r="A19" s="15"/>
      <c r="B19" s="21">
        <v>11</v>
      </c>
      <c r="C19" s="22" t="s">
        <v>72</v>
      </c>
      <c r="D19" s="23" t="s">
        <v>55</v>
      </c>
      <c r="E19" s="24">
        <v>68</v>
      </c>
      <c r="F19" s="25">
        <v>23</v>
      </c>
      <c r="G19" s="25">
        <v>8.6999999999999993</v>
      </c>
      <c r="H19" s="26">
        <f t="shared" si="0"/>
        <v>14.3</v>
      </c>
      <c r="I19" s="27">
        <f t="shared" si="1"/>
        <v>0.37826086956521737</v>
      </c>
      <c r="J19" s="28">
        <f t="shared" si="2"/>
        <v>7.2417465388711397E-2</v>
      </c>
      <c r="K19" s="29" t="str">
        <f t="shared" si="3"/>
        <v>ALTA</v>
      </c>
      <c r="L19" s="29" t="str">
        <f t="shared" si="4"/>
        <v>ALTA</v>
      </c>
      <c r="M19" s="88" t="str">
        <f t="shared" si="5"/>
        <v>ESTRELLA</v>
      </c>
      <c r="N19" s="90">
        <f t="shared" si="6"/>
        <v>0.62173913043478268</v>
      </c>
      <c r="O19" s="91">
        <f t="shared" si="7"/>
        <v>972.40000000000009</v>
      </c>
      <c r="P19" s="92" t="str">
        <f t="shared" si="8"/>
        <v>BAJA</v>
      </c>
      <c r="Q19" s="92" t="str" cm="1">
        <f t="array" ref="Q19">IF(C19="","",IF(IFERROR(E19/SUMPRODUCT((D$9:D$53=D19)*(E$9:E$53)),0)&gt;0.7*(1/COUNTIF(D$9:D$53,D19)),"ALTA","BAJA"))</f>
        <v>ALTA</v>
      </c>
      <c r="R19" s="92" t="str">
        <f t="shared" si="9"/>
        <v>⚠️ ZONA GRIS</v>
      </c>
      <c r="S19" s="101" t="str">
        <f t="shared" si="10"/>
        <v>🐴 CABALLO</v>
      </c>
      <c r="U19" s="109" t="s">
        <v>73</v>
      </c>
      <c r="V19" s="127">
        <f>COUNTIF(S9:S53,"⭐ ESTRELLA")</f>
        <v>4</v>
      </c>
    </row>
    <row r="20" spans="1:22" ht="19.5" customHeight="1" x14ac:dyDescent="0.35">
      <c r="A20" s="15"/>
      <c r="B20" s="30">
        <v>12</v>
      </c>
      <c r="C20" s="22"/>
      <c r="D20" s="23"/>
      <c r="E20" s="24"/>
      <c r="F20" s="25"/>
      <c r="G20" s="25"/>
      <c r="H20" s="31" t="str">
        <f t="shared" si="0"/>
        <v/>
      </c>
      <c r="I20" s="32" t="str">
        <f t="shared" si="1"/>
        <v/>
      </c>
      <c r="J20" s="33" t="str">
        <f t="shared" si="2"/>
        <v/>
      </c>
      <c r="K20" s="34" t="str">
        <f t="shared" si="3"/>
        <v/>
      </c>
      <c r="L20" s="34" t="str">
        <f t="shared" si="4"/>
        <v/>
      </c>
      <c r="M20" s="89" t="str">
        <f t="shared" si="5"/>
        <v/>
      </c>
      <c r="N20" s="90" t="str">
        <f t="shared" si="6"/>
        <v/>
      </c>
      <c r="O20" s="91" t="str">
        <f t="shared" si="7"/>
        <v/>
      </c>
      <c r="P20" s="92" t="str">
        <f t="shared" si="8"/>
        <v/>
      </c>
      <c r="Q20" s="92" t="str" cm="1">
        <f t="array" ref="Q20">IF(C20="","",IF(IFERROR(E20/SUMPRODUCT((D$9:D$53=D20)*(E$9:E$53)),0)&gt;0.7*(1/COUNTIF(D$9:D$53,D20)),"ALTA","BAJA"))</f>
        <v/>
      </c>
      <c r="R20" s="92" t="str">
        <f t="shared" si="9"/>
        <v/>
      </c>
      <c r="S20" s="101" t="str">
        <f t="shared" si="10"/>
        <v/>
      </c>
      <c r="U20" s="110" t="s">
        <v>74</v>
      </c>
      <c r="V20" s="128">
        <f>COUNTIF(S9:S53,"🐴 CABALLO")</f>
        <v>5</v>
      </c>
    </row>
    <row r="21" spans="1:22" ht="19.5" customHeight="1" x14ac:dyDescent="0.35">
      <c r="A21" s="15"/>
      <c r="B21" s="21">
        <v>13</v>
      </c>
      <c r="C21" s="22"/>
      <c r="D21" s="23"/>
      <c r="E21" s="24"/>
      <c r="F21" s="25"/>
      <c r="G21" s="25"/>
      <c r="H21" s="26" t="str">
        <f t="shared" si="0"/>
        <v/>
      </c>
      <c r="I21" s="27" t="str">
        <f t="shared" si="1"/>
        <v/>
      </c>
      <c r="J21" s="28" t="str">
        <f t="shared" si="2"/>
        <v/>
      </c>
      <c r="K21" s="29" t="str">
        <f t="shared" si="3"/>
        <v/>
      </c>
      <c r="L21" s="29" t="str">
        <f t="shared" si="4"/>
        <v/>
      </c>
      <c r="M21" s="88" t="str">
        <f t="shared" si="5"/>
        <v/>
      </c>
      <c r="N21" s="90" t="str">
        <f t="shared" si="6"/>
        <v/>
      </c>
      <c r="O21" s="91" t="str">
        <f t="shared" si="7"/>
        <v/>
      </c>
      <c r="P21" s="92" t="str">
        <f t="shared" si="8"/>
        <v/>
      </c>
      <c r="Q21" s="92" t="str" cm="1">
        <f t="array" ref="Q21">IF(C21="","",IF(IFERROR(E21/SUMPRODUCT((D$9:D$53=D21)*(E$9:E$53)),0)&gt;0.7*(1/COUNTIF(D$9:D$53,D21)),"ALTA","BAJA"))</f>
        <v/>
      </c>
      <c r="R21" s="92" t="str">
        <f t="shared" si="9"/>
        <v/>
      </c>
      <c r="S21" s="101" t="str">
        <f t="shared" si="10"/>
        <v/>
      </c>
      <c r="U21" s="111" t="s">
        <v>75</v>
      </c>
      <c r="V21" s="129">
        <f>COUNTIF(S9:S53,"🧩 PUZZLE")</f>
        <v>1</v>
      </c>
    </row>
    <row r="22" spans="1:22" ht="19.5" customHeight="1" x14ac:dyDescent="0.35">
      <c r="A22" s="15"/>
      <c r="B22" s="30">
        <v>14</v>
      </c>
      <c r="C22" s="22"/>
      <c r="D22" s="23"/>
      <c r="E22" s="24"/>
      <c r="F22" s="25"/>
      <c r="G22" s="25"/>
      <c r="H22" s="31" t="str">
        <f t="shared" si="0"/>
        <v/>
      </c>
      <c r="I22" s="32" t="str">
        <f t="shared" si="1"/>
        <v/>
      </c>
      <c r="J22" s="33" t="str">
        <f t="shared" si="2"/>
        <v/>
      </c>
      <c r="K22" s="34" t="str">
        <f t="shared" si="3"/>
        <v/>
      </c>
      <c r="L22" s="34" t="str">
        <f t="shared" si="4"/>
        <v/>
      </c>
      <c r="M22" s="89" t="str">
        <f t="shared" si="5"/>
        <v/>
      </c>
      <c r="N22" s="90" t="str">
        <f t="shared" si="6"/>
        <v/>
      </c>
      <c r="O22" s="91" t="str">
        <f t="shared" si="7"/>
        <v/>
      </c>
      <c r="P22" s="92" t="str">
        <f t="shared" si="8"/>
        <v/>
      </c>
      <c r="Q22" s="92" t="str" cm="1">
        <f t="array" ref="Q22">IF(C22="","",IF(IFERROR(E22/SUMPRODUCT((D$9:D$53=D22)*(E$9:E$53)),0)&gt;0.7*(1/COUNTIF(D$9:D$53,D22)),"ALTA","BAJA"))</f>
        <v/>
      </c>
      <c r="R22" s="92" t="str">
        <f t="shared" si="9"/>
        <v/>
      </c>
      <c r="S22" s="101" t="str">
        <f t="shared" si="10"/>
        <v/>
      </c>
      <c r="U22" s="112" t="s">
        <v>76</v>
      </c>
      <c r="V22" s="130">
        <f>COUNTIF(S9:S53,"🐕 PERRO")</f>
        <v>1</v>
      </c>
    </row>
    <row r="23" spans="1:22" ht="19.5" customHeight="1" x14ac:dyDescent="0.35">
      <c r="A23" s="15"/>
      <c r="B23" s="21">
        <v>15</v>
      </c>
      <c r="C23" s="22"/>
      <c r="D23" s="23"/>
      <c r="E23" s="24"/>
      <c r="F23" s="25"/>
      <c r="G23" s="25"/>
      <c r="H23" s="26" t="str">
        <f t="shared" si="0"/>
        <v/>
      </c>
      <c r="I23" s="27" t="str">
        <f t="shared" si="1"/>
        <v/>
      </c>
      <c r="J23" s="28" t="str">
        <f t="shared" si="2"/>
        <v/>
      </c>
      <c r="K23" s="29" t="str">
        <f t="shared" si="3"/>
        <v/>
      </c>
      <c r="L23" s="29" t="str">
        <f t="shared" si="4"/>
        <v/>
      </c>
      <c r="M23" s="88" t="str">
        <f t="shared" si="5"/>
        <v/>
      </c>
      <c r="N23" s="90" t="str">
        <f t="shared" si="6"/>
        <v/>
      </c>
      <c r="O23" s="91" t="str">
        <f t="shared" si="7"/>
        <v/>
      </c>
      <c r="P23" s="92" t="str">
        <f t="shared" si="8"/>
        <v/>
      </c>
      <c r="Q23" s="92" t="str" cm="1">
        <f t="array" ref="Q23">IF(C23="","",IF(IFERROR(E23/SUMPRODUCT((D$9:D$53=D23)*(E$9:E$53)),0)&gt;0.7*(1/COUNTIF(D$9:D$53,D23)),"ALTA","BAJA"))</f>
        <v/>
      </c>
      <c r="R23" s="92" t="str">
        <f t="shared" si="9"/>
        <v/>
      </c>
      <c r="S23" s="101" t="str">
        <f t="shared" si="10"/>
        <v/>
      </c>
      <c r="U23" s="113" t="s">
        <v>159</v>
      </c>
      <c r="V23" s="131">
        <f>COUNTIF(R9:R53,"⚠️ ZONA GRIS")</f>
        <v>4</v>
      </c>
    </row>
    <row r="24" spans="1:22" ht="19.5" customHeight="1" x14ac:dyDescent="0.35">
      <c r="A24" s="15"/>
      <c r="B24" s="30">
        <v>16</v>
      </c>
      <c r="C24" s="22"/>
      <c r="D24" s="23"/>
      <c r="E24" s="24"/>
      <c r="F24" s="25"/>
      <c r="G24" s="25"/>
      <c r="H24" s="31" t="str">
        <f t="shared" si="0"/>
        <v/>
      </c>
      <c r="I24" s="32" t="str">
        <f t="shared" si="1"/>
        <v/>
      </c>
      <c r="J24" s="33" t="str">
        <f t="shared" si="2"/>
        <v/>
      </c>
      <c r="K24" s="34" t="str">
        <f t="shared" si="3"/>
        <v/>
      </c>
      <c r="L24" s="34" t="str">
        <f t="shared" si="4"/>
        <v/>
      </c>
      <c r="M24" s="89" t="str">
        <f t="shared" si="5"/>
        <v/>
      </c>
      <c r="N24" s="90" t="str">
        <f t="shared" si="6"/>
        <v/>
      </c>
      <c r="O24" s="91" t="str">
        <f t="shared" si="7"/>
        <v/>
      </c>
      <c r="P24" s="92" t="str">
        <f t="shared" si="8"/>
        <v/>
      </c>
      <c r="Q24" s="92" t="str" cm="1">
        <f t="array" ref="Q24">IF(C24="","",IF(IFERROR(E24/SUMPRODUCT((D$9:D$53=D24)*(E$9:E$53)),0)&gt;0.7*(1/COUNTIF(D$9:D$53,D24)),"ALTA","BAJA"))</f>
        <v/>
      </c>
      <c r="R24" s="92" t="str">
        <f t="shared" si="9"/>
        <v/>
      </c>
      <c r="S24" s="101" t="str">
        <f t="shared" si="10"/>
        <v/>
      </c>
      <c r="U24" s="105"/>
      <c r="V24" s="120"/>
    </row>
    <row r="25" spans="1:22" ht="19.5" customHeight="1" x14ac:dyDescent="0.35">
      <c r="A25" s="15"/>
      <c r="B25" s="21">
        <v>17</v>
      </c>
      <c r="C25" s="22"/>
      <c r="D25" s="23"/>
      <c r="E25" s="24"/>
      <c r="F25" s="25"/>
      <c r="G25" s="25"/>
      <c r="H25" s="26" t="str">
        <f t="shared" si="0"/>
        <v/>
      </c>
      <c r="I25" s="27" t="str">
        <f t="shared" si="1"/>
        <v/>
      </c>
      <c r="J25" s="28" t="str">
        <f t="shared" si="2"/>
        <v/>
      </c>
      <c r="K25" s="29" t="str">
        <f t="shared" si="3"/>
        <v/>
      </c>
      <c r="L25" s="29" t="str">
        <f t="shared" si="4"/>
        <v/>
      </c>
      <c r="M25" s="88" t="str">
        <f t="shared" si="5"/>
        <v/>
      </c>
      <c r="N25" s="90" t="str">
        <f t="shared" si="6"/>
        <v/>
      </c>
      <c r="O25" s="91" t="str">
        <f t="shared" si="7"/>
        <v/>
      </c>
      <c r="P25" s="92" t="str">
        <f t="shared" si="8"/>
        <v/>
      </c>
      <c r="Q25" s="92" t="str" cm="1">
        <f t="array" ref="Q25">IF(C25="","",IF(IFERROR(E25/SUMPRODUCT((D$9:D$53=D25)*(E$9:E$53)),0)&gt;0.7*(1/COUNTIF(D$9:D$53,D25)),"ALTA","BAJA"))</f>
        <v/>
      </c>
      <c r="R25" s="92" t="str">
        <f t="shared" si="9"/>
        <v/>
      </c>
      <c r="S25" s="101" t="str">
        <f t="shared" si="10"/>
        <v/>
      </c>
      <c r="U25" s="108" t="s">
        <v>160</v>
      </c>
      <c r="V25" s="126"/>
    </row>
    <row r="26" spans="1:22" ht="19.5" customHeight="1" x14ac:dyDescent="0.35">
      <c r="A26" s="15"/>
      <c r="B26" s="30">
        <v>18</v>
      </c>
      <c r="C26" s="22"/>
      <c r="D26" s="23"/>
      <c r="E26" s="24"/>
      <c r="F26" s="25"/>
      <c r="G26" s="25"/>
      <c r="H26" s="31" t="str">
        <f t="shared" si="0"/>
        <v/>
      </c>
      <c r="I26" s="32" t="str">
        <f t="shared" si="1"/>
        <v/>
      </c>
      <c r="J26" s="33" t="str">
        <f t="shared" si="2"/>
        <v/>
      </c>
      <c r="K26" s="34" t="str">
        <f t="shared" si="3"/>
        <v/>
      </c>
      <c r="L26" s="34" t="str">
        <f t="shared" si="4"/>
        <v/>
      </c>
      <c r="M26" s="89" t="str">
        <f t="shared" si="5"/>
        <v/>
      </c>
      <c r="N26" s="90" t="str">
        <f t="shared" si="6"/>
        <v/>
      </c>
      <c r="O26" s="91" t="str">
        <f t="shared" si="7"/>
        <v/>
      </c>
      <c r="P26" s="92" t="str">
        <f t="shared" si="8"/>
        <v/>
      </c>
      <c r="Q26" s="92" t="str" cm="1">
        <f t="array" ref="Q26">IF(C26="","",IF(IFERROR(E26/SUMPRODUCT((D$9:D$53=D26)*(E$9:E$53)),0)&gt;0.7*(1/COUNTIF(D$9:D$53,D26)),"ALTA","BAJA"))</f>
        <v/>
      </c>
      <c r="R26" s="92" t="str">
        <f t="shared" si="9"/>
        <v/>
      </c>
      <c r="S26" s="101" t="str">
        <f t="shared" si="10"/>
        <v/>
      </c>
      <c r="U26" s="107" t="s">
        <v>77</v>
      </c>
      <c r="V26" s="123" cm="1">
        <f t="array" ref="V26">IFERROR(SUMPRODUCT((S9:S53="⭐ ESTRELLA")*(IF(O9:O53="",0,O9:O53))),0)</f>
        <v>6829.76</v>
      </c>
    </row>
    <row r="27" spans="1:22" ht="19.5" customHeight="1" x14ac:dyDescent="0.35">
      <c r="A27" s="15"/>
      <c r="B27" s="21">
        <v>19</v>
      </c>
      <c r="C27" s="22"/>
      <c r="D27" s="23"/>
      <c r="E27" s="24"/>
      <c r="F27" s="25"/>
      <c r="G27" s="25"/>
      <c r="H27" s="26" t="str">
        <f t="shared" si="0"/>
        <v/>
      </c>
      <c r="I27" s="27" t="str">
        <f t="shared" si="1"/>
        <v/>
      </c>
      <c r="J27" s="28" t="str">
        <f t="shared" si="2"/>
        <v/>
      </c>
      <c r="K27" s="29" t="str">
        <f t="shared" si="3"/>
        <v/>
      </c>
      <c r="L27" s="29" t="str">
        <f t="shared" si="4"/>
        <v/>
      </c>
      <c r="M27" s="88" t="str">
        <f t="shared" si="5"/>
        <v/>
      </c>
      <c r="N27" s="90" t="str">
        <f t="shared" si="6"/>
        <v/>
      </c>
      <c r="O27" s="91" t="str">
        <f t="shared" si="7"/>
        <v/>
      </c>
      <c r="P27" s="92" t="str">
        <f t="shared" si="8"/>
        <v/>
      </c>
      <c r="Q27" s="92" t="str" cm="1">
        <f t="array" ref="Q27">IF(C27="","",IF(IFERROR(E27/SUMPRODUCT((D$9:D$53=D27)*(E$9:E$53)),0)&gt;0.7*(1/COUNTIF(D$9:D$53,D27)),"ALTA","BAJA"))</f>
        <v/>
      </c>
      <c r="R27" s="92" t="str">
        <f t="shared" si="9"/>
        <v/>
      </c>
      <c r="S27" s="101" t="str">
        <f t="shared" si="10"/>
        <v/>
      </c>
      <c r="U27" s="107" t="s">
        <v>78</v>
      </c>
      <c r="V27" s="124" cm="1">
        <f t="array" ref="V27">IFERROR(SUMPRODUCT((S9:S53="⭐ ESTRELLA")*(IF(O9:O53="",0,O9:O53)))/SUMPRODUCT(IF(O9:O53="",0,O9:O53)),0)</f>
        <v>0.5121049979605059</v>
      </c>
    </row>
    <row r="28" spans="1:22" ht="19.5" customHeight="1" x14ac:dyDescent="0.35">
      <c r="A28" s="15"/>
      <c r="B28" s="30">
        <v>20</v>
      </c>
      <c r="C28" s="22"/>
      <c r="D28" s="23"/>
      <c r="E28" s="24"/>
      <c r="F28" s="25"/>
      <c r="G28" s="25"/>
      <c r="H28" s="31" t="str">
        <f t="shared" si="0"/>
        <v/>
      </c>
      <c r="I28" s="32" t="str">
        <f t="shared" si="1"/>
        <v/>
      </c>
      <c r="J28" s="33" t="str">
        <f t="shared" si="2"/>
        <v/>
      </c>
      <c r="K28" s="34" t="str">
        <f t="shared" si="3"/>
        <v/>
      </c>
      <c r="L28" s="34" t="str">
        <f t="shared" si="4"/>
        <v/>
      </c>
      <c r="M28" s="89" t="str">
        <f t="shared" si="5"/>
        <v/>
      </c>
      <c r="N28" s="90" t="str">
        <f t="shared" si="6"/>
        <v/>
      </c>
      <c r="O28" s="91" t="str">
        <f t="shared" si="7"/>
        <v/>
      </c>
      <c r="P28" s="92" t="str">
        <f t="shared" si="8"/>
        <v/>
      </c>
      <c r="Q28" s="92" t="str" cm="1">
        <f t="array" ref="Q28">IF(C28="","",IF(IFERROR(E28/SUMPRODUCT((D$9:D$53=D28)*(E$9:E$53)),0)&gt;0.7*(1/COUNTIF(D$9:D$53,D28)),"ALTA","BAJA"))</f>
        <v/>
      </c>
      <c r="R28" s="92" t="str">
        <f t="shared" si="9"/>
        <v/>
      </c>
      <c r="S28" s="101" t="str">
        <f t="shared" si="10"/>
        <v/>
      </c>
      <c r="U28" s="107" t="s">
        <v>161</v>
      </c>
      <c r="V28" s="123" cm="1">
        <f t="array" ref="V28">IFERROR(SUMPRODUCT((S9:S53="🐴 CABALLO")*(IF(O9:O53="",0,O9:O53))),0)</f>
        <v>5736.58</v>
      </c>
    </row>
    <row r="29" spans="1:22" ht="19.5" customHeight="1" x14ac:dyDescent="0.35">
      <c r="A29" s="15"/>
      <c r="B29" s="21">
        <v>21</v>
      </c>
      <c r="C29" s="22"/>
      <c r="D29" s="23"/>
      <c r="E29" s="24"/>
      <c r="F29" s="25"/>
      <c r="G29" s="25"/>
      <c r="H29" s="26" t="str">
        <f t="shared" si="0"/>
        <v/>
      </c>
      <c r="I29" s="27" t="str">
        <f t="shared" si="1"/>
        <v/>
      </c>
      <c r="J29" s="28" t="str">
        <f t="shared" si="2"/>
        <v/>
      </c>
      <c r="K29" s="29" t="str">
        <f t="shared" si="3"/>
        <v/>
      </c>
      <c r="L29" s="29" t="str">
        <f t="shared" si="4"/>
        <v/>
      </c>
      <c r="M29" s="88" t="str">
        <f t="shared" si="5"/>
        <v/>
      </c>
      <c r="N29" s="90" t="str">
        <f t="shared" si="6"/>
        <v/>
      </c>
      <c r="O29" s="91" t="str">
        <f t="shared" si="7"/>
        <v/>
      </c>
      <c r="P29" s="92" t="str">
        <f t="shared" si="8"/>
        <v/>
      </c>
      <c r="Q29" s="92" t="str" cm="1">
        <f t="array" ref="Q29">IF(C29="","",IF(IFERROR(E29/SUMPRODUCT((D$9:D$53=D29)*(E$9:E$53)),0)&gt;0.7*(1/COUNTIF(D$9:D$53,D29)),"ALTA","BAJA"))</f>
        <v/>
      </c>
      <c r="R29" s="92" t="str">
        <f t="shared" si="9"/>
        <v/>
      </c>
      <c r="S29" s="101" t="str">
        <f t="shared" si="10"/>
        <v/>
      </c>
      <c r="U29" s="107" t="s">
        <v>162</v>
      </c>
      <c r="V29" s="123" cm="1">
        <f t="array" ref="V29">IFERROR(SUMPRODUCT((S9:S53="🧩 PUZZLE")*(IF(O9:O53="",0,O9:O53))),0)</f>
        <v>478.8</v>
      </c>
    </row>
    <row r="30" spans="1:22" ht="19.5" customHeight="1" x14ac:dyDescent="0.35">
      <c r="A30" s="15"/>
      <c r="B30" s="30">
        <v>22</v>
      </c>
      <c r="C30" s="22"/>
      <c r="D30" s="23"/>
      <c r="E30" s="24"/>
      <c r="F30" s="25"/>
      <c r="G30" s="25"/>
      <c r="H30" s="31" t="str">
        <f t="shared" si="0"/>
        <v/>
      </c>
      <c r="I30" s="32" t="str">
        <f t="shared" si="1"/>
        <v/>
      </c>
      <c r="J30" s="33" t="str">
        <f t="shared" si="2"/>
        <v/>
      </c>
      <c r="K30" s="34" t="str">
        <f t="shared" si="3"/>
        <v/>
      </c>
      <c r="L30" s="34" t="str">
        <f t="shared" si="4"/>
        <v/>
      </c>
      <c r="M30" s="89" t="str">
        <f t="shared" si="5"/>
        <v/>
      </c>
      <c r="N30" s="90" t="str">
        <f t="shared" si="6"/>
        <v/>
      </c>
      <c r="O30" s="91" t="str">
        <f t="shared" si="7"/>
        <v/>
      </c>
      <c r="P30" s="92" t="str">
        <f t="shared" si="8"/>
        <v/>
      </c>
      <c r="Q30" s="92" t="str" cm="1">
        <f t="array" ref="Q30">IF(C30="","",IF(IFERROR(E30/SUMPRODUCT((D$9:D$53=D30)*(E$9:E$53)),0)&gt;0.7*(1/COUNTIF(D$9:D$53,D30)),"ALTA","BAJA"))</f>
        <v/>
      </c>
      <c r="R30" s="92" t="str">
        <f t="shared" si="9"/>
        <v/>
      </c>
      <c r="S30" s="101" t="str">
        <f t="shared" si="10"/>
        <v/>
      </c>
      <c r="U30" s="107" t="s">
        <v>163</v>
      </c>
      <c r="V30" s="123" cm="1">
        <f t="array" ref="V30">IFERROR(SUMPRODUCT((S9:S53="🐕 PERRO")*(IF(O9:O53="",0,O9:O53))),0)</f>
        <v>291.5</v>
      </c>
    </row>
    <row r="31" spans="1:22" ht="19.5" customHeight="1" x14ac:dyDescent="0.35">
      <c r="A31" s="15"/>
      <c r="B31" s="21">
        <v>23</v>
      </c>
      <c r="C31" s="22"/>
      <c r="D31" s="23"/>
      <c r="E31" s="24"/>
      <c r="F31" s="25"/>
      <c r="G31" s="25"/>
      <c r="H31" s="26" t="str">
        <f t="shared" si="0"/>
        <v/>
      </c>
      <c r="I31" s="27" t="str">
        <f t="shared" si="1"/>
        <v/>
      </c>
      <c r="J31" s="28" t="str">
        <f t="shared" si="2"/>
        <v/>
      </c>
      <c r="K31" s="29" t="str">
        <f t="shared" si="3"/>
        <v/>
      </c>
      <c r="L31" s="29" t="str">
        <f t="shared" si="4"/>
        <v/>
      </c>
      <c r="M31" s="88" t="str">
        <f t="shared" si="5"/>
        <v/>
      </c>
      <c r="N31" s="90" t="str">
        <f t="shared" si="6"/>
        <v/>
      </c>
      <c r="O31" s="91" t="str">
        <f t="shared" si="7"/>
        <v/>
      </c>
      <c r="P31" s="92" t="str">
        <f t="shared" si="8"/>
        <v/>
      </c>
      <c r="Q31" s="92" t="str" cm="1">
        <f t="array" ref="Q31">IF(C31="","",IF(IFERROR(E31/SUMPRODUCT((D$9:D$53=D31)*(E$9:E$53)),0)&gt;0.7*(1/COUNTIF(D$9:D$53,D31)),"ALTA","BAJA"))</f>
        <v/>
      </c>
      <c r="R31" s="92" t="str">
        <f t="shared" si="9"/>
        <v/>
      </c>
      <c r="S31" s="101" t="str">
        <f t="shared" si="10"/>
        <v/>
      </c>
      <c r="U31" s="105"/>
      <c r="V31" s="120"/>
    </row>
    <row r="32" spans="1:22" ht="19.5" customHeight="1" x14ac:dyDescent="0.35">
      <c r="A32" s="15"/>
      <c r="B32" s="30">
        <v>24</v>
      </c>
      <c r="C32" s="22"/>
      <c r="D32" s="23"/>
      <c r="E32" s="24"/>
      <c r="F32" s="25"/>
      <c r="G32" s="25"/>
      <c r="H32" s="31" t="str">
        <f t="shared" si="0"/>
        <v/>
      </c>
      <c r="I32" s="32" t="str">
        <f t="shared" si="1"/>
        <v/>
      </c>
      <c r="J32" s="33" t="str">
        <f t="shared" si="2"/>
        <v/>
      </c>
      <c r="K32" s="34" t="str">
        <f t="shared" si="3"/>
        <v/>
      </c>
      <c r="L32" s="34" t="str">
        <f t="shared" si="4"/>
        <v/>
      </c>
      <c r="M32" s="89" t="str">
        <f t="shared" si="5"/>
        <v/>
      </c>
      <c r="N32" s="90" t="str">
        <f t="shared" si="6"/>
        <v/>
      </c>
      <c r="O32" s="91" t="str">
        <f t="shared" si="7"/>
        <v/>
      </c>
      <c r="P32" s="92" t="str">
        <f t="shared" si="8"/>
        <v/>
      </c>
      <c r="Q32" s="92" t="str" cm="1">
        <f t="array" ref="Q32">IF(C32="","",IF(IFERROR(E32/SUMPRODUCT((D$9:D$53=D32)*(E$9:E$53)),0)&gt;0.7*(1/COUNTIF(D$9:D$53,D32)),"ALTA","BAJA"))</f>
        <v/>
      </c>
      <c r="R32" s="92" t="str">
        <f t="shared" si="9"/>
        <v/>
      </c>
      <c r="S32" s="101" t="str">
        <f t="shared" si="10"/>
        <v/>
      </c>
      <c r="U32" s="114" t="s">
        <v>164</v>
      </c>
      <c r="V32" s="132"/>
    </row>
    <row r="33" spans="1:22" ht="19.5" customHeight="1" x14ac:dyDescent="0.35">
      <c r="A33" s="15"/>
      <c r="B33" s="21">
        <v>25</v>
      </c>
      <c r="C33" s="22"/>
      <c r="D33" s="23"/>
      <c r="E33" s="24"/>
      <c r="F33" s="25"/>
      <c r="G33" s="25"/>
      <c r="H33" s="26" t="str">
        <f t="shared" si="0"/>
        <v/>
      </c>
      <c r="I33" s="27" t="str">
        <f t="shared" si="1"/>
        <v/>
      </c>
      <c r="J33" s="28" t="str">
        <f t="shared" si="2"/>
        <v/>
      </c>
      <c r="K33" s="29" t="str">
        <f t="shared" si="3"/>
        <v/>
      </c>
      <c r="L33" s="29" t="str">
        <f t="shared" si="4"/>
        <v/>
      </c>
      <c r="M33" s="88" t="str">
        <f t="shared" si="5"/>
        <v/>
      </c>
      <c r="N33" s="90" t="str">
        <f t="shared" si="6"/>
        <v/>
      </c>
      <c r="O33" s="91" t="str">
        <f t="shared" si="7"/>
        <v/>
      </c>
      <c r="P33" s="92" t="str">
        <f t="shared" si="8"/>
        <v/>
      </c>
      <c r="Q33" s="92" t="str" cm="1">
        <f t="array" ref="Q33">IF(C33="","",IF(IFERROR(E33/SUMPRODUCT((D$9:D$53=D33)*(E$9:E$53)),0)&gt;0.7*(1/COUNTIF(D$9:D$53,D33)),"ALTA","BAJA"))</f>
        <v/>
      </c>
      <c r="R33" s="92" t="str">
        <f t="shared" si="9"/>
        <v/>
      </c>
      <c r="S33" s="101" t="str">
        <f t="shared" si="10"/>
        <v/>
      </c>
      <c r="U33" s="107" t="s">
        <v>165</v>
      </c>
      <c r="V33" s="133" cm="1">
        <f t="array" ref="V33">SUMPRODUCT((C9:C53&lt;&gt;"")*(M9:M53&lt;&gt;IF(S9:S53="⭐ ESTRELLA","ESTRELLA",IF(S9:S53="🧩 PUZZLE","PUZZLE",IF(S9:S53="🐴 CABALLO","CABALLO DE TIRO",IF(S9:S53="🐕 PERRO","PERRO/ZOMBIE",""))))))</f>
        <v>7</v>
      </c>
    </row>
    <row r="34" spans="1:22" ht="19.5" customHeight="1" x14ac:dyDescent="0.35">
      <c r="A34" s="15"/>
      <c r="B34" s="30">
        <v>26</v>
      </c>
      <c r="C34" s="22"/>
      <c r="D34" s="23"/>
      <c r="E34" s="24"/>
      <c r="F34" s="25"/>
      <c r="G34" s="25"/>
      <c r="H34" s="31" t="str">
        <f t="shared" si="0"/>
        <v/>
      </c>
      <c r="I34" s="32" t="str">
        <f t="shared" si="1"/>
        <v/>
      </c>
      <c r="J34" s="33" t="str">
        <f t="shared" si="2"/>
        <v/>
      </c>
      <c r="K34" s="34" t="str">
        <f t="shared" si="3"/>
        <v/>
      </c>
      <c r="L34" s="34" t="str">
        <f t="shared" si="4"/>
        <v/>
      </c>
      <c r="M34" s="89" t="str">
        <f t="shared" si="5"/>
        <v/>
      </c>
      <c r="N34" s="90" t="str">
        <f t="shared" si="6"/>
        <v/>
      </c>
      <c r="O34" s="91" t="str">
        <f t="shared" si="7"/>
        <v/>
      </c>
      <c r="P34" s="92" t="str">
        <f t="shared" si="8"/>
        <v/>
      </c>
      <c r="Q34" s="92" t="str" cm="1">
        <f t="array" ref="Q34">IF(C34="","",IF(IFERROR(E34/SUMPRODUCT((D$9:D$53=D34)*(E$9:E$53)),0)&gt;0.7*(1/COUNTIF(D$9:D$53,D34)),"ALTA","BAJA"))</f>
        <v/>
      </c>
      <c r="R34" s="92" t="str">
        <f t="shared" si="9"/>
        <v/>
      </c>
      <c r="S34" s="101" t="str">
        <f t="shared" si="10"/>
        <v/>
      </c>
      <c r="U34" s="107" t="s">
        <v>166</v>
      </c>
      <c r="V34" s="134">
        <f>IFERROR(V33/COUNTA(C9:C53),0)</f>
        <v>0.63636363636363635</v>
      </c>
    </row>
    <row r="35" spans="1:22" ht="19.5" customHeight="1" x14ac:dyDescent="0.35">
      <c r="A35" s="15"/>
      <c r="B35" s="21">
        <v>27</v>
      </c>
      <c r="C35" s="22"/>
      <c r="D35" s="23"/>
      <c r="E35" s="24"/>
      <c r="F35" s="25"/>
      <c r="G35" s="25"/>
      <c r="H35" s="26" t="str">
        <f t="shared" si="0"/>
        <v/>
      </c>
      <c r="I35" s="27" t="str">
        <f t="shared" si="1"/>
        <v/>
      </c>
      <c r="J35" s="28" t="str">
        <f t="shared" si="2"/>
        <v/>
      </c>
      <c r="K35" s="29" t="str">
        <f t="shared" si="3"/>
        <v/>
      </c>
      <c r="L35" s="29" t="str">
        <f t="shared" si="4"/>
        <v/>
      </c>
      <c r="M35" s="88" t="str">
        <f t="shared" si="5"/>
        <v/>
      </c>
      <c r="N35" s="90" t="str">
        <f t="shared" si="6"/>
        <v/>
      </c>
      <c r="O35" s="91" t="str">
        <f t="shared" si="7"/>
        <v/>
      </c>
      <c r="P35" s="92" t="str">
        <f t="shared" si="8"/>
        <v/>
      </c>
      <c r="Q35" s="92" t="str" cm="1">
        <f t="array" ref="Q35">IF(C35="","",IF(IFERROR(E35/SUMPRODUCT((D$9:D$53=D35)*(E$9:E$53)),0)&gt;0.7*(1/COUNTIF(D$9:D$53,D35)),"ALTA","BAJA"))</f>
        <v/>
      </c>
      <c r="R35" s="92" t="str">
        <f t="shared" si="9"/>
        <v/>
      </c>
      <c r="S35" s="101" t="str">
        <f t="shared" si="10"/>
        <v/>
      </c>
      <c r="U35" s="105"/>
      <c r="V35" s="120"/>
    </row>
    <row r="36" spans="1:22" ht="19.5" customHeight="1" x14ac:dyDescent="0.35">
      <c r="A36" s="15"/>
      <c r="B36" s="30">
        <v>28</v>
      </c>
      <c r="C36" s="22"/>
      <c r="D36" s="23"/>
      <c r="E36" s="24"/>
      <c r="F36" s="25"/>
      <c r="G36" s="25"/>
      <c r="H36" s="31" t="str">
        <f t="shared" si="0"/>
        <v/>
      </c>
      <c r="I36" s="32" t="str">
        <f t="shared" si="1"/>
        <v/>
      </c>
      <c r="J36" s="33" t="str">
        <f t="shared" si="2"/>
        <v/>
      </c>
      <c r="K36" s="34" t="str">
        <f t="shared" si="3"/>
        <v/>
      </c>
      <c r="L36" s="34" t="str">
        <f t="shared" si="4"/>
        <v/>
      </c>
      <c r="M36" s="89" t="str">
        <f t="shared" si="5"/>
        <v/>
      </c>
      <c r="N36" s="90" t="str">
        <f t="shared" si="6"/>
        <v/>
      </c>
      <c r="O36" s="91" t="str">
        <f t="shared" si="7"/>
        <v/>
      </c>
      <c r="P36" s="92" t="str">
        <f t="shared" si="8"/>
        <v/>
      </c>
      <c r="Q36" s="92" t="str" cm="1">
        <f t="array" ref="Q36">IF(C36="","",IF(IFERROR(E36/SUMPRODUCT((D$9:D$53=D36)*(E$9:E$53)),0)&gt;0.7*(1/COUNTIF(D$9:D$53,D36)),"ALTA","BAJA"))</f>
        <v/>
      </c>
      <c r="R36" s="92" t="str">
        <f t="shared" si="9"/>
        <v/>
      </c>
      <c r="S36" s="101" t="str">
        <f t="shared" si="10"/>
        <v/>
      </c>
      <c r="U36" s="115" t="s">
        <v>167</v>
      </c>
      <c r="V36" s="135"/>
    </row>
    <row r="37" spans="1:22" ht="19.5" customHeight="1" x14ac:dyDescent="0.35">
      <c r="A37" s="15"/>
      <c r="B37" s="21">
        <v>29</v>
      </c>
      <c r="C37" s="22"/>
      <c r="D37" s="23"/>
      <c r="E37" s="24"/>
      <c r="F37" s="25"/>
      <c r="G37" s="25"/>
      <c r="H37" s="26" t="str">
        <f t="shared" si="0"/>
        <v/>
      </c>
      <c r="I37" s="27" t="str">
        <f t="shared" si="1"/>
        <v/>
      </c>
      <c r="J37" s="28" t="str">
        <f t="shared" si="2"/>
        <v/>
      </c>
      <c r="K37" s="29" t="str">
        <f t="shared" si="3"/>
        <v/>
      </c>
      <c r="L37" s="29" t="str">
        <f t="shared" si="4"/>
        <v/>
      </c>
      <c r="M37" s="88" t="str">
        <f t="shared" si="5"/>
        <v/>
      </c>
      <c r="N37" s="90" t="str">
        <f t="shared" si="6"/>
        <v/>
      </c>
      <c r="O37" s="91" t="str">
        <f t="shared" si="7"/>
        <v/>
      </c>
      <c r="P37" s="92" t="str">
        <f t="shared" si="8"/>
        <v/>
      </c>
      <c r="Q37" s="92" t="str" cm="1">
        <f t="array" ref="Q37">IF(C37="","",IF(IFERROR(E37/SUMPRODUCT((D$9:D$53=D37)*(E$9:E$53)),0)&gt;0.7*(1/COUNTIF(D$9:D$53,D37)),"ALTA","BAJA"))</f>
        <v/>
      </c>
      <c r="R37" s="92" t="str">
        <f t="shared" si="9"/>
        <v/>
      </c>
      <c r="S37" s="101" t="str">
        <f t="shared" si="10"/>
        <v/>
      </c>
      <c r="U37" s="107" t="s">
        <v>168</v>
      </c>
      <c r="V37" s="123">
        <f>IFERROR(MAX(O9:O53),0)</f>
        <v>2251.7200000000003</v>
      </c>
    </row>
    <row r="38" spans="1:22" ht="19.5" customHeight="1" x14ac:dyDescent="0.35">
      <c r="A38" s="15"/>
      <c r="B38" s="30">
        <v>30</v>
      </c>
      <c r="C38" s="22"/>
      <c r="D38" s="23"/>
      <c r="E38" s="24"/>
      <c r="F38" s="25"/>
      <c r="G38" s="25"/>
      <c r="H38" s="31" t="str">
        <f t="shared" si="0"/>
        <v/>
      </c>
      <c r="I38" s="32" t="str">
        <f t="shared" si="1"/>
        <v/>
      </c>
      <c r="J38" s="33" t="str">
        <f t="shared" si="2"/>
        <v/>
      </c>
      <c r="K38" s="34" t="str">
        <f t="shared" si="3"/>
        <v/>
      </c>
      <c r="L38" s="34" t="str">
        <f t="shared" si="4"/>
        <v/>
      </c>
      <c r="M38" s="89" t="str">
        <f t="shared" si="5"/>
        <v/>
      </c>
      <c r="N38" s="90" t="str">
        <f t="shared" si="6"/>
        <v/>
      </c>
      <c r="O38" s="91" t="str">
        <f t="shared" si="7"/>
        <v/>
      </c>
      <c r="P38" s="92" t="str">
        <f t="shared" si="8"/>
        <v/>
      </c>
      <c r="Q38" s="92" t="str" cm="1">
        <f t="array" ref="Q38">IF(C38="","",IF(IFERROR(E38/SUMPRODUCT((D$9:D$53=D38)*(E$9:E$53)),0)&gt;0.7*(1/COUNTIF(D$9:D$53,D38)),"ALTA","BAJA"))</f>
        <v/>
      </c>
      <c r="R38" s="92" t="str">
        <f t="shared" si="9"/>
        <v/>
      </c>
      <c r="S38" s="101" t="str">
        <f t="shared" si="10"/>
        <v/>
      </c>
      <c r="U38" s="107" t="s">
        <v>169</v>
      </c>
      <c r="V38" s="121" t="str">
        <f>IFERROR(INDEX(C9:C53,MATCH(MAX(O9:O53),O9:O53,0)),"")</f>
        <v>Calamares salsa romesco</v>
      </c>
    </row>
    <row r="39" spans="1:22" ht="19.5" customHeight="1" x14ac:dyDescent="0.35">
      <c r="A39" s="15"/>
      <c r="B39" s="21">
        <v>31</v>
      </c>
      <c r="C39" s="22"/>
      <c r="D39" s="23"/>
      <c r="E39" s="24"/>
      <c r="F39" s="25"/>
      <c r="G39" s="25"/>
      <c r="H39" s="26" t="str">
        <f t="shared" si="0"/>
        <v/>
      </c>
      <c r="I39" s="27" t="str">
        <f t="shared" si="1"/>
        <v/>
      </c>
      <c r="J39" s="28" t="str">
        <f t="shared" si="2"/>
        <v/>
      </c>
      <c r="K39" s="29" t="str">
        <f t="shared" si="3"/>
        <v/>
      </c>
      <c r="L39" s="29" t="str">
        <f t="shared" si="4"/>
        <v/>
      </c>
      <c r="M39" s="88" t="str">
        <f t="shared" si="5"/>
        <v/>
      </c>
      <c r="N39" s="90" t="str">
        <f t="shared" si="6"/>
        <v/>
      </c>
      <c r="O39" s="91" t="str">
        <f t="shared" si="7"/>
        <v/>
      </c>
      <c r="P39" s="92" t="str">
        <f t="shared" si="8"/>
        <v/>
      </c>
      <c r="Q39" s="92" t="str" cm="1">
        <f t="array" ref="Q39">IF(C39="","",IF(IFERROR(E39/SUMPRODUCT((D$9:D$53=D39)*(E$9:E$53)),0)&gt;0.7*(1/COUNTIF(D$9:D$53,D39)),"ALTA","BAJA"))</f>
        <v/>
      </c>
      <c r="R39" s="92" t="str">
        <f t="shared" si="9"/>
        <v/>
      </c>
      <c r="S39" s="101" t="str">
        <f t="shared" si="10"/>
        <v/>
      </c>
      <c r="U39" s="116" t="s">
        <v>170</v>
      </c>
      <c r="V39" s="136" cm="1">
        <f t="array" ref="V39">IFERROR(MIN(IF(O9:O53&lt;&gt;"",O9:O53)),0)</f>
        <v>291.5</v>
      </c>
    </row>
    <row r="40" spans="1:22" ht="19.5" customHeight="1" x14ac:dyDescent="0.35">
      <c r="A40" s="15"/>
      <c r="B40" s="30">
        <v>32</v>
      </c>
      <c r="C40" s="22"/>
      <c r="D40" s="23"/>
      <c r="E40" s="24"/>
      <c r="F40" s="25"/>
      <c r="G40" s="25"/>
      <c r="H40" s="31" t="str">
        <f t="shared" si="0"/>
        <v/>
      </c>
      <c r="I40" s="32" t="str">
        <f t="shared" si="1"/>
        <v/>
      </c>
      <c r="J40" s="33" t="str">
        <f t="shared" si="2"/>
        <v/>
      </c>
      <c r="K40" s="34" t="str">
        <f t="shared" si="3"/>
        <v/>
      </c>
      <c r="L40" s="34" t="str">
        <f t="shared" si="4"/>
        <v/>
      </c>
      <c r="M40" s="89" t="str">
        <f t="shared" si="5"/>
        <v/>
      </c>
      <c r="N40" s="90" t="str">
        <f t="shared" si="6"/>
        <v/>
      </c>
      <c r="O40" s="91" t="str">
        <f t="shared" si="7"/>
        <v/>
      </c>
      <c r="P40" s="92" t="str">
        <f t="shared" si="8"/>
        <v/>
      </c>
      <c r="Q40" s="92" t="str" cm="1">
        <f t="array" ref="Q40">IF(C40="","",IF(IFERROR(E40/SUMPRODUCT((D$9:D$53=D40)*(E$9:E$53)),0)&gt;0.7*(1/COUNTIF(D$9:D$53,D40)),"ALTA","BAJA"))</f>
        <v/>
      </c>
      <c r="R40" s="92" t="str">
        <f t="shared" si="9"/>
        <v/>
      </c>
      <c r="S40" s="101" t="str">
        <f t="shared" si="10"/>
        <v/>
      </c>
    </row>
    <row r="41" spans="1:22" ht="19.5" customHeight="1" x14ac:dyDescent="0.35">
      <c r="A41" s="15"/>
      <c r="B41" s="21">
        <v>33</v>
      </c>
      <c r="C41" s="22"/>
      <c r="D41" s="23"/>
      <c r="E41" s="24"/>
      <c r="F41" s="25"/>
      <c r="G41" s="25"/>
      <c r="H41" s="26" t="str">
        <f t="shared" si="0"/>
        <v/>
      </c>
      <c r="I41" s="27" t="str">
        <f t="shared" si="1"/>
        <v/>
      </c>
      <c r="J41" s="28" t="str">
        <f t="shared" si="2"/>
        <v/>
      </c>
      <c r="K41" s="29" t="str">
        <f t="shared" si="3"/>
        <v/>
      </c>
      <c r="L41" s="29" t="str">
        <f t="shared" si="4"/>
        <v/>
      </c>
      <c r="M41" s="88" t="str">
        <f t="shared" si="5"/>
        <v/>
      </c>
      <c r="N41" s="90" t="str">
        <f t="shared" si="6"/>
        <v/>
      </c>
      <c r="O41" s="91" t="str">
        <f t="shared" si="7"/>
        <v/>
      </c>
      <c r="P41" s="92" t="str">
        <f t="shared" si="8"/>
        <v/>
      </c>
      <c r="Q41" s="92" t="str" cm="1">
        <f t="array" ref="Q41">IF(C41="","",IF(IFERROR(E41/SUMPRODUCT((D$9:D$53=D41)*(E$9:E$53)),0)&gt;0.7*(1/COUNTIF(D$9:D$53,D41)),"ALTA","BAJA"))</f>
        <v/>
      </c>
      <c r="R41" s="92" t="str">
        <f t="shared" si="9"/>
        <v/>
      </c>
      <c r="S41" s="101" t="str">
        <f t="shared" si="10"/>
        <v/>
      </c>
    </row>
    <row r="42" spans="1:22" ht="19.5" customHeight="1" x14ac:dyDescent="0.35">
      <c r="A42" s="15"/>
      <c r="B42" s="30">
        <v>34</v>
      </c>
      <c r="C42" s="22"/>
      <c r="D42" s="23"/>
      <c r="E42" s="24"/>
      <c r="F42" s="25"/>
      <c r="G42" s="25"/>
      <c r="H42" s="31" t="str">
        <f t="shared" si="0"/>
        <v/>
      </c>
      <c r="I42" s="32" t="str">
        <f t="shared" si="1"/>
        <v/>
      </c>
      <c r="J42" s="33" t="str">
        <f t="shared" si="2"/>
        <v/>
      </c>
      <c r="K42" s="34" t="str">
        <f t="shared" si="3"/>
        <v/>
      </c>
      <c r="L42" s="34" t="str">
        <f t="shared" si="4"/>
        <v/>
      </c>
      <c r="M42" s="89" t="str">
        <f t="shared" si="5"/>
        <v/>
      </c>
      <c r="N42" s="90" t="str">
        <f t="shared" si="6"/>
        <v/>
      </c>
      <c r="O42" s="91" t="str">
        <f t="shared" si="7"/>
        <v/>
      </c>
      <c r="P42" s="92" t="str">
        <f t="shared" si="8"/>
        <v/>
      </c>
      <c r="Q42" s="92" t="str" cm="1">
        <f t="array" ref="Q42">IF(C42="","",IF(IFERROR(E42/SUMPRODUCT((D$9:D$53=D42)*(E$9:E$53)),0)&gt;0.7*(1/COUNTIF(D$9:D$53,D42)),"ALTA","BAJA"))</f>
        <v/>
      </c>
      <c r="R42" s="92" t="str">
        <f t="shared" si="9"/>
        <v/>
      </c>
      <c r="S42" s="101" t="str">
        <f t="shared" si="10"/>
        <v/>
      </c>
    </row>
    <row r="43" spans="1:22" ht="19.5" customHeight="1" x14ac:dyDescent="0.35">
      <c r="A43" s="15"/>
      <c r="B43" s="21">
        <v>35</v>
      </c>
      <c r="C43" s="22"/>
      <c r="D43" s="23"/>
      <c r="E43" s="24"/>
      <c r="F43" s="25"/>
      <c r="G43" s="25"/>
      <c r="H43" s="26" t="str">
        <f t="shared" si="0"/>
        <v/>
      </c>
      <c r="I43" s="27" t="str">
        <f t="shared" si="1"/>
        <v/>
      </c>
      <c r="J43" s="28" t="str">
        <f t="shared" si="2"/>
        <v/>
      </c>
      <c r="K43" s="29" t="str">
        <f t="shared" si="3"/>
        <v/>
      </c>
      <c r="L43" s="29" t="str">
        <f t="shared" si="4"/>
        <v/>
      </c>
      <c r="M43" s="88" t="str">
        <f t="shared" si="5"/>
        <v/>
      </c>
      <c r="N43" s="90" t="str">
        <f t="shared" si="6"/>
        <v/>
      </c>
      <c r="O43" s="91" t="str">
        <f t="shared" si="7"/>
        <v/>
      </c>
      <c r="P43" s="92" t="str">
        <f t="shared" si="8"/>
        <v/>
      </c>
      <c r="Q43" s="92" t="str" cm="1">
        <f t="array" ref="Q43">IF(C43="","",IF(IFERROR(E43/SUMPRODUCT((D$9:D$53=D43)*(E$9:E$53)),0)&gt;0.7*(1/COUNTIF(D$9:D$53,D43)),"ALTA","BAJA"))</f>
        <v/>
      </c>
      <c r="R43" s="92" t="str">
        <f t="shared" si="9"/>
        <v/>
      </c>
      <c r="S43" s="101" t="str">
        <f t="shared" si="10"/>
        <v/>
      </c>
    </row>
    <row r="44" spans="1:22" ht="19.5" customHeight="1" x14ac:dyDescent="0.35">
      <c r="A44" s="15"/>
      <c r="B44" s="30">
        <v>36</v>
      </c>
      <c r="C44" s="22"/>
      <c r="D44" s="23"/>
      <c r="E44" s="24"/>
      <c r="F44" s="25"/>
      <c r="G44" s="25"/>
      <c r="H44" s="31" t="str">
        <f t="shared" si="0"/>
        <v/>
      </c>
      <c r="I44" s="32" t="str">
        <f t="shared" si="1"/>
        <v/>
      </c>
      <c r="J44" s="33" t="str">
        <f t="shared" si="2"/>
        <v/>
      </c>
      <c r="K44" s="34" t="str">
        <f t="shared" si="3"/>
        <v/>
      </c>
      <c r="L44" s="34" t="str">
        <f t="shared" si="4"/>
        <v/>
      </c>
      <c r="M44" s="89" t="str">
        <f t="shared" si="5"/>
        <v/>
      </c>
      <c r="N44" s="90" t="str">
        <f t="shared" si="6"/>
        <v/>
      </c>
      <c r="O44" s="91" t="str">
        <f t="shared" si="7"/>
        <v/>
      </c>
      <c r="P44" s="92" t="str">
        <f t="shared" si="8"/>
        <v/>
      </c>
      <c r="Q44" s="92" t="str" cm="1">
        <f t="array" ref="Q44">IF(C44="","",IF(IFERROR(E44/SUMPRODUCT((D$9:D$53=D44)*(E$9:E$53)),0)&gt;0.7*(1/COUNTIF(D$9:D$53,D44)),"ALTA","BAJA"))</f>
        <v/>
      </c>
      <c r="R44" s="92" t="str">
        <f t="shared" si="9"/>
        <v/>
      </c>
      <c r="S44" s="101" t="str">
        <f t="shared" si="10"/>
        <v/>
      </c>
    </row>
    <row r="45" spans="1:22" ht="19.5" customHeight="1" x14ac:dyDescent="0.35">
      <c r="A45" s="15"/>
      <c r="B45" s="21">
        <v>37</v>
      </c>
      <c r="C45" s="22"/>
      <c r="D45" s="23"/>
      <c r="E45" s="24"/>
      <c r="F45" s="25"/>
      <c r="G45" s="25"/>
      <c r="H45" s="26" t="str">
        <f t="shared" si="0"/>
        <v/>
      </c>
      <c r="I45" s="27" t="str">
        <f t="shared" si="1"/>
        <v/>
      </c>
      <c r="J45" s="28" t="str">
        <f t="shared" si="2"/>
        <v/>
      </c>
      <c r="K45" s="29" t="str">
        <f t="shared" si="3"/>
        <v/>
      </c>
      <c r="L45" s="29" t="str">
        <f t="shared" si="4"/>
        <v/>
      </c>
      <c r="M45" s="88" t="str">
        <f t="shared" si="5"/>
        <v/>
      </c>
      <c r="N45" s="90" t="str">
        <f t="shared" si="6"/>
        <v/>
      </c>
      <c r="O45" s="91" t="str">
        <f t="shared" si="7"/>
        <v/>
      </c>
      <c r="P45" s="92" t="str">
        <f t="shared" si="8"/>
        <v/>
      </c>
      <c r="Q45" s="92" t="str" cm="1">
        <f t="array" ref="Q45">IF(C45="","",IF(IFERROR(E45/SUMPRODUCT((D$9:D$53=D45)*(E$9:E$53)),0)&gt;0.7*(1/COUNTIF(D$9:D$53,D45)),"ALTA","BAJA"))</f>
        <v/>
      </c>
      <c r="R45" s="92" t="str">
        <f t="shared" si="9"/>
        <v/>
      </c>
      <c r="S45" s="101" t="str">
        <f t="shared" si="10"/>
        <v/>
      </c>
    </row>
    <row r="46" spans="1:22" ht="19.5" customHeight="1" x14ac:dyDescent="0.35">
      <c r="A46" s="15"/>
      <c r="B46" s="30">
        <v>38</v>
      </c>
      <c r="C46" s="22"/>
      <c r="D46" s="23"/>
      <c r="E46" s="24"/>
      <c r="F46" s="25"/>
      <c r="G46" s="25"/>
      <c r="H46" s="31" t="str">
        <f t="shared" si="0"/>
        <v/>
      </c>
      <c r="I46" s="32" t="str">
        <f t="shared" si="1"/>
        <v/>
      </c>
      <c r="J46" s="33" t="str">
        <f t="shared" si="2"/>
        <v/>
      </c>
      <c r="K46" s="34" t="str">
        <f t="shared" si="3"/>
        <v/>
      </c>
      <c r="L46" s="34" t="str">
        <f t="shared" si="4"/>
        <v/>
      </c>
      <c r="M46" s="89" t="str">
        <f t="shared" si="5"/>
        <v/>
      </c>
      <c r="N46" s="90" t="str">
        <f t="shared" si="6"/>
        <v/>
      </c>
      <c r="O46" s="91" t="str">
        <f t="shared" si="7"/>
        <v/>
      </c>
      <c r="P46" s="92" t="str">
        <f t="shared" si="8"/>
        <v/>
      </c>
      <c r="Q46" s="92" t="str" cm="1">
        <f t="array" ref="Q46">IF(C46="","",IF(IFERROR(E46/SUMPRODUCT((D$9:D$53=D46)*(E$9:E$53)),0)&gt;0.7*(1/COUNTIF(D$9:D$53,D46)),"ALTA","BAJA"))</f>
        <v/>
      </c>
      <c r="R46" s="92" t="str">
        <f t="shared" si="9"/>
        <v/>
      </c>
      <c r="S46" s="101" t="str">
        <f t="shared" si="10"/>
        <v/>
      </c>
    </row>
    <row r="47" spans="1:22" ht="19.5" customHeight="1" x14ac:dyDescent="0.35">
      <c r="A47" s="15"/>
      <c r="B47" s="21">
        <v>39</v>
      </c>
      <c r="C47" s="22"/>
      <c r="D47" s="23"/>
      <c r="E47" s="24"/>
      <c r="F47" s="25"/>
      <c r="G47" s="25"/>
      <c r="H47" s="26" t="str">
        <f t="shared" si="0"/>
        <v/>
      </c>
      <c r="I47" s="27" t="str">
        <f t="shared" si="1"/>
        <v/>
      </c>
      <c r="J47" s="28" t="str">
        <f t="shared" si="2"/>
        <v/>
      </c>
      <c r="K47" s="29" t="str">
        <f t="shared" si="3"/>
        <v/>
      </c>
      <c r="L47" s="29" t="str">
        <f t="shared" si="4"/>
        <v/>
      </c>
      <c r="M47" s="88" t="str">
        <f t="shared" si="5"/>
        <v/>
      </c>
      <c r="N47" s="90" t="str">
        <f t="shared" si="6"/>
        <v/>
      </c>
      <c r="O47" s="91" t="str">
        <f t="shared" si="7"/>
        <v/>
      </c>
      <c r="P47" s="92" t="str">
        <f t="shared" si="8"/>
        <v/>
      </c>
      <c r="Q47" s="92" t="str" cm="1">
        <f t="array" ref="Q47">IF(C47="","",IF(IFERROR(E47/SUMPRODUCT((D$9:D$53=D47)*(E$9:E$53)),0)&gt;0.7*(1/COUNTIF(D$9:D$53,D47)),"ALTA","BAJA"))</f>
        <v/>
      </c>
      <c r="R47" s="92" t="str">
        <f t="shared" si="9"/>
        <v/>
      </c>
      <c r="S47" s="101" t="str">
        <f t="shared" si="10"/>
        <v/>
      </c>
    </row>
    <row r="48" spans="1:22" ht="19.5" customHeight="1" x14ac:dyDescent="0.35">
      <c r="A48" s="15"/>
      <c r="B48" s="30">
        <v>40</v>
      </c>
      <c r="C48" s="22"/>
      <c r="D48" s="23"/>
      <c r="E48" s="24"/>
      <c r="F48" s="25"/>
      <c r="G48" s="25"/>
      <c r="H48" s="31" t="str">
        <f t="shared" si="0"/>
        <v/>
      </c>
      <c r="I48" s="32" t="str">
        <f t="shared" si="1"/>
        <v/>
      </c>
      <c r="J48" s="33" t="str">
        <f t="shared" si="2"/>
        <v/>
      </c>
      <c r="K48" s="34" t="str">
        <f t="shared" si="3"/>
        <v/>
      </c>
      <c r="L48" s="34" t="str">
        <f t="shared" si="4"/>
        <v/>
      </c>
      <c r="M48" s="89" t="str">
        <f t="shared" si="5"/>
        <v/>
      </c>
      <c r="N48" s="90" t="str">
        <f t="shared" si="6"/>
        <v/>
      </c>
      <c r="O48" s="91" t="str">
        <f t="shared" si="7"/>
        <v/>
      </c>
      <c r="P48" s="92" t="str">
        <f t="shared" si="8"/>
        <v/>
      </c>
      <c r="Q48" s="92" t="str" cm="1">
        <f t="array" ref="Q48">IF(C48="","",IF(IFERROR(E48/SUMPRODUCT((D$9:D$53=D48)*(E$9:E$53)),0)&gt;0.7*(1/COUNTIF(D$9:D$53,D48)),"ALTA","BAJA"))</f>
        <v/>
      </c>
      <c r="R48" s="92" t="str">
        <f t="shared" si="9"/>
        <v/>
      </c>
      <c r="S48" s="101" t="str">
        <f t="shared" si="10"/>
        <v/>
      </c>
    </row>
    <row r="49" spans="1:19" ht="19.5" customHeight="1" x14ac:dyDescent="0.35">
      <c r="A49" s="15"/>
      <c r="B49" s="21">
        <v>41</v>
      </c>
      <c r="C49" s="22"/>
      <c r="D49" s="23"/>
      <c r="E49" s="24"/>
      <c r="F49" s="25"/>
      <c r="G49" s="25"/>
      <c r="H49" s="26" t="str">
        <f t="shared" si="0"/>
        <v/>
      </c>
      <c r="I49" s="27" t="str">
        <f t="shared" si="1"/>
        <v/>
      </c>
      <c r="J49" s="28" t="str">
        <f t="shared" si="2"/>
        <v/>
      </c>
      <c r="K49" s="29" t="str">
        <f t="shared" si="3"/>
        <v/>
      </c>
      <c r="L49" s="29" t="str">
        <f t="shared" si="4"/>
        <v/>
      </c>
      <c r="M49" s="88" t="str">
        <f t="shared" si="5"/>
        <v/>
      </c>
      <c r="N49" s="90" t="str">
        <f t="shared" si="6"/>
        <v/>
      </c>
      <c r="O49" s="91" t="str">
        <f t="shared" si="7"/>
        <v/>
      </c>
      <c r="P49" s="92" t="str">
        <f t="shared" si="8"/>
        <v/>
      </c>
      <c r="Q49" s="92" t="str" cm="1">
        <f t="array" ref="Q49">IF(C49="","",IF(IFERROR(E49/SUMPRODUCT((D$9:D$53=D49)*(E$9:E$53)),0)&gt;0.7*(1/COUNTIF(D$9:D$53,D49)),"ALTA","BAJA"))</f>
        <v/>
      </c>
      <c r="R49" s="92" t="str">
        <f t="shared" si="9"/>
        <v/>
      </c>
      <c r="S49" s="101" t="str">
        <f t="shared" si="10"/>
        <v/>
      </c>
    </row>
    <row r="50" spans="1:19" ht="19.5" customHeight="1" x14ac:dyDescent="0.35">
      <c r="A50" s="15"/>
      <c r="B50" s="30">
        <v>42</v>
      </c>
      <c r="C50" s="22"/>
      <c r="D50" s="23"/>
      <c r="E50" s="24"/>
      <c r="F50" s="25"/>
      <c r="G50" s="25"/>
      <c r="H50" s="31" t="str">
        <f t="shared" si="0"/>
        <v/>
      </c>
      <c r="I50" s="32" t="str">
        <f t="shared" si="1"/>
        <v/>
      </c>
      <c r="J50" s="33" t="str">
        <f t="shared" si="2"/>
        <v/>
      </c>
      <c r="K50" s="34" t="str">
        <f t="shared" si="3"/>
        <v/>
      </c>
      <c r="L50" s="34" t="str">
        <f t="shared" si="4"/>
        <v/>
      </c>
      <c r="M50" s="89" t="str">
        <f t="shared" si="5"/>
        <v/>
      </c>
      <c r="N50" s="90" t="str">
        <f t="shared" si="6"/>
        <v/>
      </c>
      <c r="O50" s="91" t="str">
        <f t="shared" si="7"/>
        <v/>
      </c>
      <c r="P50" s="92" t="str">
        <f t="shared" si="8"/>
        <v/>
      </c>
      <c r="Q50" s="92" t="str" cm="1">
        <f t="array" ref="Q50">IF(C50="","",IF(IFERROR(E50/SUMPRODUCT((D$9:D$53=D50)*(E$9:E$53)),0)&gt;0.7*(1/COUNTIF(D$9:D$53,D50)),"ALTA","BAJA"))</f>
        <v/>
      </c>
      <c r="R50" s="92" t="str">
        <f t="shared" si="9"/>
        <v/>
      </c>
      <c r="S50" s="101" t="str">
        <f t="shared" si="10"/>
        <v/>
      </c>
    </row>
    <row r="51" spans="1:19" ht="19.5" customHeight="1" x14ac:dyDescent="0.35">
      <c r="A51" s="15"/>
      <c r="B51" s="21">
        <v>43</v>
      </c>
      <c r="C51" s="22"/>
      <c r="D51" s="23"/>
      <c r="E51" s="24"/>
      <c r="F51" s="25"/>
      <c r="G51" s="25"/>
      <c r="H51" s="26" t="str">
        <f t="shared" si="0"/>
        <v/>
      </c>
      <c r="I51" s="27" t="str">
        <f t="shared" si="1"/>
        <v/>
      </c>
      <c r="J51" s="28" t="str">
        <f t="shared" si="2"/>
        <v/>
      </c>
      <c r="K51" s="29" t="str">
        <f t="shared" si="3"/>
        <v/>
      </c>
      <c r="L51" s="29" t="str">
        <f t="shared" si="4"/>
        <v/>
      </c>
      <c r="M51" s="88" t="str">
        <f t="shared" si="5"/>
        <v/>
      </c>
      <c r="N51" s="90" t="str">
        <f t="shared" si="6"/>
        <v/>
      </c>
      <c r="O51" s="91" t="str">
        <f t="shared" si="7"/>
        <v/>
      </c>
      <c r="P51" s="92" t="str">
        <f t="shared" si="8"/>
        <v/>
      </c>
      <c r="Q51" s="92" t="str" cm="1">
        <f t="array" ref="Q51">IF(C51="","",IF(IFERROR(E51/SUMPRODUCT((D$9:D$53=D51)*(E$9:E$53)),0)&gt;0.7*(1/COUNTIF(D$9:D$53,D51)),"ALTA","BAJA"))</f>
        <v/>
      </c>
      <c r="R51" s="92" t="str">
        <f t="shared" si="9"/>
        <v/>
      </c>
      <c r="S51" s="101" t="str">
        <f t="shared" si="10"/>
        <v/>
      </c>
    </row>
    <row r="52" spans="1:19" ht="19.5" customHeight="1" x14ac:dyDescent="0.35">
      <c r="A52" s="15"/>
      <c r="B52" s="30">
        <v>44</v>
      </c>
      <c r="C52" s="22"/>
      <c r="D52" s="23"/>
      <c r="E52" s="24"/>
      <c r="F52" s="25"/>
      <c r="G52" s="25"/>
      <c r="H52" s="31" t="str">
        <f t="shared" si="0"/>
        <v/>
      </c>
      <c r="I52" s="32" t="str">
        <f t="shared" si="1"/>
        <v/>
      </c>
      <c r="J52" s="33" t="str">
        <f t="shared" si="2"/>
        <v/>
      </c>
      <c r="K52" s="34" t="str">
        <f t="shared" si="3"/>
        <v/>
      </c>
      <c r="L52" s="34" t="str">
        <f t="shared" si="4"/>
        <v/>
      </c>
      <c r="M52" s="89" t="str">
        <f t="shared" si="5"/>
        <v/>
      </c>
      <c r="N52" s="90" t="str">
        <f t="shared" si="6"/>
        <v/>
      </c>
      <c r="O52" s="91" t="str">
        <f t="shared" si="7"/>
        <v/>
      </c>
      <c r="P52" s="92" t="str">
        <f t="shared" si="8"/>
        <v/>
      </c>
      <c r="Q52" s="92" t="str" cm="1">
        <f t="array" ref="Q52">IF(C52="","",IF(IFERROR(E52/SUMPRODUCT((D$9:D$53=D52)*(E$9:E$53)),0)&gt;0.7*(1/COUNTIF(D$9:D$53,D52)),"ALTA","BAJA"))</f>
        <v/>
      </c>
      <c r="R52" s="92" t="str">
        <f t="shared" si="9"/>
        <v/>
      </c>
      <c r="S52" s="101" t="str">
        <f t="shared" si="10"/>
        <v/>
      </c>
    </row>
    <row r="53" spans="1:19" ht="19.5" customHeight="1" x14ac:dyDescent="0.35">
      <c r="A53" s="15"/>
      <c r="B53" s="21">
        <v>45</v>
      </c>
      <c r="C53" s="22"/>
      <c r="D53" s="23"/>
      <c r="E53" s="24"/>
      <c r="F53" s="25"/>
      <c r="G53" s="25"/>
      <c r="H53" s="26" t="str">
        <f t="shared" si="0"/>
        <v/>
      </c>
      <c r="I53" s="27" t="str">
        <f t="shared" si="1"/>
        <v/>
      </c>
      <c r="J53" s="28" t="str">
        <f t="shared" si="2"/>
        <v/>
      </c>
      <c r="K53" s="29" t="str">
        <f t="shared" si="3"/>
        <v/>
      </c>
      <c r="L53" s="29" t="str">
        <f t="shared" si="4"/>
        <v/>
      </c>
      <c r="M53" s="88" t="str">
        <f t="shared" si="5"/>
        <v/>
      </c>
      <c r="N53" s="90" t="str">
        <f t="shared" si="6"/>
        <v/>
      </c>
      <c r="O53" s="91" t="str">
        <f t="shared" si="7"/>
        <v/>
      </c>
      <c r="P53" s="92" t="str">
        <f t="shared" si="8"/>
        <v/>
      </c>
      <c r="Q53" s="92" t="str" cm="1">
        <f t="array" ref="Q53">IF(C53="","",IF(IFERROR(E53/SUMPRODUCT((D$9:D$53=D53)*(E$9:E$53)),0)&gt;0.7*(1/COUNTIF(D$9:D$53,D53)),"ALTA","BAJA"))</f>
        <v/>
      </c>
      <c r="R53" s="92" t="str">
        <f t="shared" si="9"/>
        <v/>
      </c>
      <c r="S53" s="101" t="str">
        <f t="shared" si="10"/>
        <v/>
      </c>
    </row>
    <row r="54" spans="1:19" ht="21.75" customHeight="1" x14ac:dyDescent="0.35">
      <c r="A54" s="15"/>
      <c r="B54" s="62" t="s">
        <v>79</v>
      </c>
      <c r="C54" s="62"/>
      <c r="D54" s="62"/>
      <c r="E54" s="35">
        <f>SUM(E9:E53)</f>
        <v>939</v>
      </c>
      <c r="F54" s="36"/>
      <c r="G54" s="36"/>
      <c r="H54" s="37" cm="1">
        <f t="array" ref="H54">IFERROR(SUMPRODUCT((E9:E53)*(IF(H9:H53="",0,H9:H53))),0)</f>
        <v>13336.639999999998</v>
      </c>
      <c r="I54" s="38">
        <f>IFERROR(SUMPRODUCT((E9:E53)*(G9:G53))/SUMPRODUCT((E9:E53)*(F9:F53)),0)</f>
        <v>0.34334613490891192</v>
      </c>
      <c r="J54" s="36"/>
      <c r="K54" s="36"/>
      <c r="L54" s="36"/>
      <c r="M54" s="20"/>
      <c r="N54" s="96" cm="1">
        <f t="array" ref="N54">IFERROR(1-SUMPRODUCT((E9:E53)*(G9:G53))/SUMPRODUCT((E9:E53)*(F9:F53)),0)</f>
        <v>0.65665386509108803</v>
      </c>
      <c r="O54" s="97" cm="1">
        <f t="array" ref="O54">IFERROR(SUMPRODUCT((E9:E53)*(IF(H9:H53="",0,H9:H53))),0)</f>
        <v>13336.639999999998</v>
      </c>
      <c r="P54" s="98"/>
      <c r="Q54" s="99"/>
      <c r="R54" s="99"/>
      <c r="S54" s="99"/>
    </row>
    <row r="55" spans="1:19" ht="7.5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9" ht="18" customHeight="1" x14ac:dyDescent="0.35">
      <c r="A56" s="15"/>
      <c r="B56" s="63" t="s">
        <v>195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15"/>
      <c r="O56" s="15"/>
      <c r="P56" s="15"/>
    </row>
    <row r="57" spans="1:19" ht="9.75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9" ht="25.5" customHeight="1" x14ac:dyDescent="0.35">
      <c r="A58" s="15"/>
      <c r="B58" s="60" t="s">
        <v>80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5"/>
      <c r="O58" s="15"/>
      <c r="P58" s="15"/>
    </row>
    <row r="59" spans="1:19" ht="30" customHeight="1" x14ac:dyDescent="0.35">
      <c r="A59" s="15"/>
      <c r="B59" s="64" t="s">
        <v>81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15"/>
      <c r="O59" s="15"/>
      <c r="P59" s="15"/>
    </row>
    <row r="60" spans="1:19" ht="31.5" customHeight="1" x14ac:dyDescent="0.35">
      <c r="A60" s="15"/>
      <c r="B60" s="65" t="s">
        <v>82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15"/>
      <c r="O60" s="15"/>
      <c r="P60" s="15"/>
    </row>
  </sheetData>
  <sheetProtection algorithmName="SHA-512" hashValue="O6VH/08MKTYhOgZYRz+zQYnXrWEsAz2Lt0ov6tw/Tw4M/HfjG7a/PcMewgE9p0Sco1TuC9rMoAgLASMfUw2uLA==" saltValue="pN/mFXa3Ltkh1VkEHLivCw==" spinCount="100000" sheet="1" objects="1" scenarios="1"/>
  <mergeCells count="9">
    <mergeCell ref="B54:D54"/>
    <mergeCell ref="B56:M56"/>
    <mergeCell ref="B58:M58"/>
    <mergeCell ref="B59:M59"/>
    <mergeCell ref="B60:M60"/>
    <mergeCell ref="B6:M6"/>
    <mergeCell ref="B2:M2"/>
    <mergeCell ref="B4:M4"/>
    <mergeCell ref="B5:M5"/>
  </mergeCells>
  <conditionalFormatting sqref="B9:M53">
    <cfRule type="expression" dxfId="3" priority="2">
      <formula>$M9="ESTRELLA"</formula>
    </cfRule>
    <cfRule type="expression" dxfId="2" priority="3">
      <formula>$M9="CABALLO DE TIRO"</formula>
    </cfRule>
    <cfRule type="expression" dxfId="1" priority="4">
      <formula>$M9="PUZZLE"</formula>
    </cfRule>
    <cfRule type="expression" dxfId="0" priority="5">
      <formula>$M9="PERRO/ZOMBIE"</formula>
    </cfRule>
  </conditionalFormatting>
  <dataValidations count="1">
    <dataValidation type="list" allowBlank="1" showErrorMessage="1" errorTitle="Valor no válido" error="Selecciona una categoría de la lista." sqref="D9:D53" xr:uid="{00000000-0002-0000-0100-000000000000}">
      <formula1>"Entrante,Principal,Postre,Bebida elaborada,Ensalada,Tapa,Ración"</formula1>
      <formula2>0</formula2>
    </dataValidation>
  </dataValidations>
  <hyperlinks>
    <hyperlink ref="B2" r:id="rId1" xr:uid="{00000000-0004-0000-0100-000000000000}"/>
    <hyperlink ref="B60" r:id="rId2" xr:uid="{00000000-0004-0000-0100-000001000000}"/>
  </hyperlinks>
  <pageMargins left="0.75" right="0.75" top="1" bottom="1" header="0.511811023622047" footer="0.511811023622047"/>
  <pageSetup paperSize="9" orientation="portrait" horizontalDpi="300" verticalDpi="30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showGridLines="0" topLeftCell="A26" zoomScaleNormal="100" workbookViewId="0">
      <selection activeCell="B2" sqref="B2:M2"/>
    </sheetView>
  </sheetViews>
  <sheetFormatPr defaultColWidth="8.6328125" defaultRowHeight="14.5" x14ac:dyDescent="0.35"/>
  <cols>
    <col min="1" max="1" width="2" customWidth="1"/>
    <col min="2" max="2" width="22" customWidth="1"/>
    <col min="3" max="4" width="14" customWidth="1"/>
    <col min="5" max="5" width="2" customWidth="1"/>
    <col min="6" max="6" width="22" customWidth="1"/>
    <col min="7" max="8" width="14" customWidth="1"/>
    <col min="9" max="9" width="2" customWidth="1"/>
    <col min="11" max="11" width="24" customWidth="1"/>
    <col min="12" max="13" width="14" customWidth="1"/>
    <col min="14" max="14" width="2" customWidth="1"/>
  </cols>
  <sheetData>
    <row r="1" spans="1:13" ht="7.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6" customHeight="1" x14ac:dyDescent="0.35">
      <c r="A2" s="15"/>
      <c r="B2" s="59" t="s">
        <v>83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18" customHeight="1" x14ac:dyDescent="0.35">
      <c r="A3" s="15"/>
      <c r="B3" s="61" t="s">
        <v>84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 ht="3" customHeight="1" x14ac:dyDescent="0.35">
      <c r="A4" s="15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7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27.75" customHeight="1" x14ac:dyDescent="0.35">
      <c r="A6" s="15"/>
      <c r="B6" s="66" t="s">
        <v>85</v>
      </c>
      <c r="C6" s="66"/>
      <c r="D6" s="66"/>
      <c r="E6" s="15"/>
      <c r="F6" s="66" t="s">
        <v>86</v>
      </c>
      <c r="G6" s="66"/>
      <c r="H6" s="66"/>
      <c r="I6" s="15"/>
      <c r="J6" s="15"/>
      <c r="K6" s="66" t="s">
        <v>87</v>
      </c>
      <c r="L6" s="66"/>
      <c r="M6" s="66"/>
    </row>
    <row r="7" spans="1:13" ht="36" customHeight="1" x14ac:dyDescent="0.35">
      <c r="A7" s="15"/>
      <c r="B7" s="67" t="s">
        <v>88</v>
      </c>
      <c r="C7" s="67"/>
      <c r="D7" s="67"/>
      <c r="E7" s="15"/>
      <c r="F7" s="67" t="s">
        <v>89</v>
      </c>
      <c r="G7" s="67"/>
      <c r="H7" s="67"/>
      <c r="I7" s="15"/>
      <c r="J7" s="15"/>
      <c r="K7" s="67" t="s">
        <v>90</v>
      </c>
      <c r="L7" s="67"/>
      <c r="M7" s="67"/>
    </row>
    <row r="8" spans="1:13" ht="21.75" customHeight="1" x14ac:dyDescent="0.35">
      <c r="A8" s="15"/>
      <c r="B8" s="36" t="s">
        <v>91</v>
      </c>
      <c r="C8" s="36" t="s">
        <v>92</v>
      </c>
      <c r="D8" s="36"/>
      <c r="E8" s="15"/>
      <c r="F8" s="36" t="s">
        <v>91</v>
      </c>
      <c r="G8" s="36" t="s">
        <v>92</v>
      </c>
      <c r="H8" s="36" t="s">
        <v>93</v>
      </c>
      <c r="I8" s="15"/>
      <c r="J8" s="15"/>
      <c r="K8" s="36" t="s">
        <v>91</v>
      </c>
      <c r="L8" s="36" t="s">
        <v>92</v>
      </c>
      <c r="M8" s="36" t="s">
        <v>94</v>
      </c>
    </row>
    <row r="9" spans="1:13" ht="18" customHeight="1" x14ac:dyDescent="0.35">
      <c r="A9" s="15"/>
      <c r="B9" s="22"/>
      <c r="C9" s="25"/>
      <c r="D9" s="39"/>
      <c r="E9" s="15"/>
      <c r="F9" s="22"/>
      <c r="G9" s="25"/>
      <c r="H9" s="29" t="str">
        <f>IF(F9="","",IF(G9=0,"",IF(G9&lt;=MIN(IF(G9:G38&lt;&gt;0,G9:G38))+IFERROR((MAX(G9:G38)-MIN(IF(G9:G38&lt;&gt;0,G9:G38)))/3,0),"BANDA BAJA",IF(G9&gt;=MAX(G9:G38)-IFERROR((MAX(G9:G38)-MIN(IF(G9:G38&lt;&gt;0,G9:G38)))/3,0),"BANDA ALTA","BANDA MEDIA"))))</f>
        <v/>
      </c>
      <c r="I9" s="15"/>
      <c r="J9" s="15"/>
      <c r="K9" s="22"/>
      <c r="L9" s="25"/>
      <c r="M9" s="23"/>
    </row>
    <row r="10" spans="1:13" ht="18" customHeight="1" x14ac:dyDescent="0.35">
      <c r="A10" s="15"/>
      <c r="B10" s="22"/>
      <c r="C10" s="25"/>
      <c r="D10" s="40"/>
      <c r="E10" s="15"/>
      <c r="F10" s="22"/>
      <c r="G10" s="25"/>
      <c r="H10" s="34" t="str">
        <f>IF(F10="","",IF(G10=0,"",IF(G10&lt;=MIN(IF(G9:G38&lt;&gt;0,G9:G38))+IFERROR((MAX(G9:G38)-MIN(IF(G9:G38&lt;&gt;0,G9:G38)))/3,0),"BANDA BAJA",IF(G10&gt;=MAX(G9:G38)-IFERROR((MAX(G9:G38)-MIN(IF(G9:G38&lt;&gt;0,G9:G38)))/3,0),"BANDA ALTA","BANDA MEDIA"))))</f>
        <v/>
      </c>
      <c r="I10" s="15"/>
      <c r="J10" s="15"/>
      <c r="K10" s="22"/>
      <c r="L10" s="25"/>
      <c r="M10" s="23"/>
    </row>
    <row r="11" spans="1:13" ht="18" customHeight="1" x14ac:dyDescent="0.35">
      <c r="A11" s="15"/>
      <c r="B11" s="22"/>
      <c r="C11" s="25"/>
      <c r="D11" s="39"/>
      <c r="E11" s="15"/>
      <c r="F11" s="22"/>
      <c r="G11" s="25"/>
      <c r="H11" s="29" t="str">
        <f>IF(F11="","",IF(G11=0,"",IF(G11&lt;=MIN(IF(G9:G38&lt;&gt;0,G9:G38))+IFERROR((MAX(G9:G38)-MIN(IF(G9:G38&lt;&gt;0,G9:G38)))/3,0),"BANDA BAJA",IF(G11&gt;=MAX(G9:G38)-IFERROR((MAX(G9:G38)-MIN(IF(G9:G38&lt;&gt;0,G9:G38)))/3,0),"BANDA ALTA","BANDA MEDIA"))))</f>
        <v/>
      </c>
      <c r="I11" s="15"/>
      <c r="J11" s="15"/>
      <c r="K11" s="22"/>
      <c r="L11" s="25"/>
      <c r="M11" s="23"/>
    </row>
    <row r="12" spans="1:13" ht="18" customHeight="1" x14ac:dyDescent="0.35">
      <c r="A12" s="15"/>
      <c r="B12" s="22"/>
      <c r="C12" s="25"/>
      <c r="D12" s="40"/>
      <c r="E12" s="15"/>
      <c r="F12" s="22"/>
      <c r="G12" s="25"/>
      <c r="H12" s="34" t="str">
        <f>IF(F12="","",IF(G12=0,"",IF(G12&lt;=MIN(IF(G9:G38&lt;&gt;0,G9:G38))+IFERROR((MAX(G9:G38)-MIN(IF(G9:G38&lt;&gt;0,G9:G38)))/3,0),"BANDA BAJA",IF(G12&gt;=MAX(G9:G38)-IFERROR((MAX(G9:G38)-MIN(IF(G9:G38&lt;&gt;0,G9:G38)))/3,0),"BANDA ALTA","BANDA MEDIA"))))</f>
        <v/>
      </c>
      <c r="I12" s="15"/>
      <c r="J12" s="15"/>
      <c r="K12" s="22"/>
      <c r="L12" s="25"/>
      <c r="M12" s="23"/>
    </row>
    <row r="13" spans="1:13" ht="18" customHeight="1" x14ac:dyDescent="0.35">
      <c r="A13" s="15"/>
      <c r="B13" s="22"/>
      <c r="C13" s="25"/>
      <c r="D13" s="39"/>
      <c r="E13" s="15"/>
      <c r="F13" s="22"/>
      <c r="G13" s="25"/>
      <c r="H13" s="29" t="str">
        <f>IF(F13="","",IF(G13=0,"",IF(G13&lt;=MIN(IF(G9:G38&lt;&gt;0,G9:G38))+IFERROR((MAX(G9:G38)-MIN(IF(G9:G38&lt;&gt;0,G9:G38)))/3,0),"BANDA BAJA",IF(G13&gt;=MAX(G9:G38)-IFERROR((MAX(G9:G38)-MIN(IF(G9:G38&lt;&gt;0,G9:G38)))/3,0),"BANDA ALTA","BANDA MEDIA"))))</f>
        <v/>
      </c>
      <c r="I13" s="15"/>
      <c r="J13" s="15"/>
      <c r="K13" s="22"/>
      <c r="L13" s="25"/>
      <c r="M13" s="23"/>
    </row>
    <row r="14" spans="1:13" ht="18" customHeight="1" x14ac:dyDescent="0.35">
      <c r="A14" s="15"/>
      <c r="B14" s="22"/>
      <c r="C14" s="25"/>
      <c r="D14" s="40"/>
      <c r="E14" s="15"/>
      <c r="F14" s="22"/>
      <c r="G14" s="25"/>
      <c r="H14" s="34" t="str">
        <f>IF(F14="","",IF(G14=0,"",IF(G14&lt;=MIN(IF(G9:G38&lt;&gt;0,G9:G38))+IFERROR((MAX(G9:G38)-MIN(IF(G9:G38&lt;&gt;0,G9:G38)))/3,0),"BANDA BAJA",IF(G14&gt;=MAX(G9:G38)-IFERROR((MAX(G9:G38)-MIN(IF(G9:G38&lt;&gt;0,G9:G38)))/3,0),"BANDA ALTA","BANDA MEDIA"))))</f>
        <v/>
      </c>
      <c r="I14" s="15"/>
      <c r="J14" s="15"/>
      <c r="K14" s="22"/>
      <c r="L14" s="25"/>
      <c r="M14" s="23"/>
    </row>
    <row r="15" spans="1:13" ht="18" customHeight="1" x14ac:dyDescent="0.35">
      <c r="A15" s="15"/>
      <c r="B15" s="22"/>
      <c r="C15" s="25"/>
      <c r="D15" s="39"/>
      <c r="E15" s="15"/>
      <c r="F15" s="22"/>
      <c r="G15" s="25"/>
      <c r="H15" s="29" t="str">
        <f>IF(F15="","",IF(G15=0,"",IF(G15&lt;=MIN(IF(G9:G38&lt;&gt;0,G9:G38))+IFERROR((MAX(G9:G38)-MIN(IF(G9:G38&lt;&gt;0,G9:G38)))/3,0),"BANDA BAJA",IF(G15&gt;=MAX(G9:G38)-IFERROR((MAX(G9:G38)-MIN(IF(G9:G38&lt;&gt;0,G9:G38)))/3,0),"BANDA ALTA","BANDA MEDIA"))))</f>
        <v/>
      </c>
      <c r="I15" s="15"/>
      <c r="J15" s="15"/>
      <c r="K15" s="22"/>
      <c r="L15" s="25"/>
      <c r="M15" s="23"/>
    </row>
    <row r="16" spans="1:13" ht="18" customHeight="1" x14ac:dyDescent="0.35">
      <c r="A16" s="15"/>
      <c r="B16" s="22"/>
      <c r="C16" s="25"/>
      <c r="D16" s="40"/>
      <c r="E16" s="15"/>
      <c r="F16" s="22"/>
      <c r="G16" s="25"/>
      <c r="H16" s="34" t="str">
        <f>IF(F16="","",IF(G16=0,"",IF(G16&lt;=MIN(IF(G9:G38&lt;&gt;0,G9:G38))+IFERROR((MAX(G9:G38)-MIN(IF(G9:G38&lt;&gt;0,G9:G38)))/3,0),"BANDA BAJA",IF(G16&gt;=MAX(G9:G38)-IFERROR((MAX(G9:G38)-MIN(IF(G9:G38&lt;&gt;0,G9:G38)))/3,0),"BANDA ALTA","BANDA MEDIA"))))</f>
        <v/>
      </c>
      <c r="I16" s="15"/>
      <c r="J16" s="15"/>
      <c r="K16" s="22"/>
      <c r="L16" s="25"/>
      <c r="M16" s="23"/>
    </row>
    <row r="17" spans="1:13" ht="18" customHeight="1" x14ac:dyDescent="0.35">
      <c r="A17" s="15"/>
      <c r="B17" s="22"/>
      <c r="C17" s="25"/>
      <c r="D17" s="39"/>
      <c r="E17" s="15"/>
      <c r="F17" s="22"/>
      <c r="G17" s="25"/>
      <c r="H17" s="29" t="str">
        <f>IF(F17="","",IF(G17=0,"",IF(G17&lt;=MIN(IF(G9:G38&lt;&gt;0,G9:G38))+IFERROR((MAX(G9:G38)-MIN(IF(G9:G38&lt;&gt;0,G9:G38)))/3,0),"BANDA BAJA",IF(G17&gt;=MAX(G9:G38)-IFERROR((MAX(G9:G38)-MIN(IF(G9:G38&lt;&gt;0,G9:G38)))/3,0),"BANDA ALTA","BANDA MEDIA"))))</f>
        <v/>
      </c>
      <c r="I17" s="15"/>
      <c r="J17" s="15"/>
      <c r="K17" s="22"/>
      <c r="L17" s="25"/>
      <c r="M17" s="23"/>
    </row>
    <row r="18" spans="1:13" ht="18" customHeight="1" x14ac:dyDescent="0.35">
      <c r="A18" s="15"/>
      <c r="B18" s="22"/>
      <c r="C18" s="25"/>
      <c r="D18" s="40"/>
      <c r="E18" s="15"/>
      <c r="F18" s="22"/>
      <c r="G18" s="25"/>
      <c r="H18" s="34" t="str">
        <f>IF(F18="","",IF(G18=0,"",IF(G18&lt;=MIN(IF(G9:G38&lt;&gt;0,G9:G38))+IFERROR((MAX(G9:G38)-MIN(IF(G9:G38&lt;&gt;0,G9:G38)))/3,0),"BANDA BAJA",IF(G18&gt;=MAX(G9:G38)-IFERROR((MAX(G9:G38)-MIN(IF(G9:G38&lt;&gt;0,G9:G38)))/3,0),"BANDA ALTA","BANDA MEDIA"))))</f>
        <v/>
      </c>
      <c r="I18" s="15"/>
      <c r="J18" s="15"/>
      <c r="K18" s="22"/>
      <c r="L18" s="25"/>
      <c r="M18" s="23"/>
    </row>
    <row r="19" spans="1:13" ht="18" customHeight="1" x14ac:dyDescent="0.35">
      <c r="A19" s="15"/>
      <c r="B19" s="22"/>
      <c r="C19" s="25"/>
      <c r="D19" s="39"/>
      <c r="E19" s="15"/>
      <c r="F19" s="22"/>
      <c r="G19" s="25"/>
      <c r="H19" s="29" t="str">
        <f>IF(F19="","",IF(G19=0,"",IF(G19&lt;=MIN(IF(G9:G38&lt;&gt;0,G9:G38))+IFERROR((MAX(G9:G38)-MIN(IF(G9:G38&lt;&gt;0,G9:G38)))/3,0),"BANDA BAJA",IF(G19&gt;=MAX(G9:G38)-IFERROR((MAX(G9:G38)-MIN(IF(G9:G38&lt;&gt;0,G9:G38)))/3,0),"BANDA ALTA","BANDA MEDIA"))))</f>
        <v/>
      </c>
      <c r="I19" s="15"/>
      <c r="J19" s="15"/>
      <c r="K19" s="22"/>
      <c r="L19" s="25"/>
      <c r="M19" s="23"/>
    </row>
    <row r="20" spans="1:13" ht="18" customHeight="1" x14ac:dyDescent="0.35">
      <c r="A20" s="15"/>
      <c r="B20" s="22"/>
      <c r="C20" s="25"/>
      <c r="D20" s="40"/>
      <c r="E20" s="15"/>
      <c r="F20" s="22"/>
      <c r="G20" s="25"/>
      <c r="H20" s="34" t="str">
        <f>IF(F20="","",IF(G20=0,"",IF(G20&lt;=MIN(IF(G9:G38&lt;&gt;0,G9:G38))+IFERROR((MAX(G9:G38)-MIN(IF(G9:G38&lt;&gt;0,G9:G38)))/3,0),"BANDA BAJA",IF(G20&gt;=MAX(G9:G38)-IFERROR((MAX(G9:G38)-MIN(IF(G9:G38&lt;&gt;0,G9:G38)))/3,0),"BANDA ALTA","BANDA MEDIA"))))</f>
        <v/>
      </c>
      <c r="I20" s="15"/>
      <c r="J20" s="15"/>
      <c r="K20" s="22"/>
      <c r="L20" s="25"/>
      <c r="M20" s="23"/>
    </row>
    <row r="21" spans="1:13" ht="18" customHeight="1" x14ac:dyDescent="0.35">
      <c r="A21" s="15"/>
      <c r="B21" s="22"/>
      <c r="C21" s="25"/>
      <c r="D21" s="39"/>
      <c r="E21" s="15"/>
      <c r="F21" s="22"/>
      <c r="G21" s="25"/>
      <c r="H21" s="29" t="str">
        <f>IF(F21="","",IF(G21=0,"",IF(G21&lt;=MIN(IF(G9:G38&lt;&gt;0,G9:G38))+IFERROR((MAX(G9:G38)-MIN(IF(G9:G38&lt;&gt;0,G9:G38)))/3,0),"BANDA BAJA",IF(G21&gt;=MAX(G9:G38)-IFERROR((MAX(G9:G38)-MIN(IF(G9:G38&lt;&gt;0,G9:G38)))/3,0),"BANDA ALTA","BANDA MEDIA"))))</f>
        <v/>
      </c>
      <c r="I21" s="15"/>
      <c r="J21" s="15"/>
      <c r="K21" s="22"/>
      <c r="L21" s="25"/>
      <c r="M21" s="23"/>
    </row>
    <row r="22" spans="1:13" ht="18" customHeight="1" x14ac:dyDescent="0.35">
      <c r="A22" s="15"/>
      <c r="B22" s="22"/>
      <c r="C22" s="25"/>
      <c r="D22" s="40"/>
      <c r="E22" s="15"/>
      <c r="F22" s="22"/>
      <c r="G22" s="25"/>
      <c r="H22" s="34" t="str">
        <f>IF(F22="","",IF(G22=0,"",IF(G22&lt;=MIN(IF(G9:G38&lt;&gt;0,G9:G38))+IFERROR((MAX(G9:G38)-MIN(IF(G9:G38&lt;&gt;0,G9:G38)))/3,0),"BANDA BAJA",IF(G22&gt;=MAX(G9:G38)-IFERROR((MAX(G9:G38)-MIN(IF(G9:G38&lt;&gt;0,G9:G38)))/3,0),"BANDA ALTA","BANDA MEDIA"))))</f>
        <v/>
      </c>
      <c r="I22" s="15"/>
      <c r="J22" s="15"/>
      <c r="K22" s="22"/>
      <c r="L22" s="25"/>
      <c r="M22" s="23"/>
    </row>
    <row r="23" spans="1:13" ht="18" customHeight="1" x14ac:dyDescent="0.35">
      <c r="A23" s="15"/>
      <c r="B23" s="22"/>
      <c r="C23" s="25"/>
      <c r="D23" s="39"/>
      <c r="E23" s="15"/>
      <c r="F23" s="22"/>
      <c r="G23" s="25"/>
      <c r="H23" s="29" t="str">
        <f>IF(F23="","",IF(G23=0,"",IF(G23&lt;=MIN(IF(G9:G38&lt;&gt;0,G9:G38))+IFERROR((MAX(G9:G38)-MIN(IF(G9:G38&lt;&gt;0,G9:G38)))/3,0),"BANDA BAJA",IF(G23&gt;=MAX(G9:G38)-IFERROR((MAX(G9:G38)-MIN(IF(G9:G38&lt;&gt;0,G9:G38)))/3,0),"BANDA ALTA","BANDA MEDIA"))))</f>
        <v/>
      </c>
      <c r="I23" s="15"/>
      <c r="J23" s="15"/>
      <c r="K23" s="22"/>
      <c r="L23" s="25"/>
      <c r="M23" s="23"/>
    </row>
    <row r="24" spans="1:13" ht="18" customHeight="1" x14ac:dyDescent="0.35">
      <c r="A24" s="15"/>
      <c r="B24" s="22"/>
      <c r="C24" s="25"/>
      <c r="D24" s="40"/>
      <c r="E24" s="15"/>
      <c r="F24" s="22"/>
      <c r="G24" s="25"/>
      <c r="H24" s="34" t="str">
        <f>IF(F24="","",IF(G24=0,"",IF(G24&lt;=MIN(IF(G9:G38&lt;&gt;0,G9:G38))+IFERROR((MAX(G9:G38)-MIN(IF(G9:G38&lt;&gt;0,G9:G38)))/3,0),"BANDA BAJA",IF(G24&gt;=MAX(G9:G38)-IFERROR((MAX(G9:G38)-MIN(IF(G9:G38&lt;&gt;0,G9:G38)))/3,0),"BANDA ALTA","BANDA MEDIA"))))</f>
        <v/>
      </c>
      <c r="I24" s="15"/>
      <c r="J24" s="15"/>
      <c r="K24" s="22"/>
      <c r="L24" s="25"/>
      <c r="M24" s="23"/>
    </row>
    <row r="25" spans="1:13" ht="18" customHeight="1" x14ac:dyDescent="0.35">
      <c r="A25" s="15"/>
      <c r="B25" s="22"/>
      <c r="C25" s="25"/>
      <c r="D25" s="39"/>
      <c r="E25" s="15"/>
      <c r="F25" s="22"/>
      <c r="G25" s="25"/>
      <c r="H25" s="29" t="str">
        <f>IF(F25="","",IF(G25=0,"",IF(G25&lt;=MIN(IF(G9:G38&lt;&gt;0,G9:G38))+IFERROR((MAX(G9:G38)-MIN(IF(G9:G38&lt;&gt;0,G9:G38)))/3,0),"BANDA BAJA",IF(G25&gt;=MAX(G9:G38)-IFERROR((MAX(G9:G38)-MIN(IF(G9:G38&lt;&gt;0,G9:G38)))/3,0),"BANDA ALTA","BANDA MEDIA"))))</f>
        <v/>
      </c>
      <c r="I25" s="15"/>
      <c r="J25" s="15"/>
      <c r="K25" s="22"/>
      <c r="L25" s="25"/>
      <c r="M25" s="23"/>
    </row>
    <row r="26" spans="1:13" ht="18" customHeight="1" x14ac:dyDescent="0.35">
      <c r="A26" s="15"/>
      <c r="B26" s="22"/>
      <c r="C26" s="25"/>
      <c r="D26" s="40"/>
      <c r="E26" s="15"/>
      <c r="F26" s="22"/>
      <c r="G26" s="25"/>
      <c r="H26" s="34" t="str">
        <f>IF(F26="","",IF(G26=0,"",IF(G26&lt;=MIN(IF(G9:G38&lt;&gt;0,G9:G38))+IFERROR((MAX(G9:G38)-MIN(IF(G9:G38&lt;&gt;0,G9:G38)))/3,0),"BANDA BAJA",IF(G26&gt;=MAX(G9:G38)-IFERROR((MAX(G9:G38)-MIN(IF(G9:G38&lt;&gt;0,G9:G38)))/3,0),"BANDA ALTA","BANDA MEDIA"))))</f>
        <v/>
      </c>
      <c r="I26" s="15"/>
      <c r="J26" s="15"/>
      <c r="K26" s="22"/>
      <c r="L26" s="25"/>
      <c r="M26" s="23"/>
    </row>
    <row r="27" spans="1:13" ht="18" customHeight="1" x14ac:dyDescent="0.35">
      <c r="A27" s="15"/>
      <c r="B27" s="22"/>
      <c r="C27" s="25"/>
      <c r="D27" s="39"/>
      <c r="E27" s="15"/>
      <c r="F27" s="22"/>
      <c r="G27" s="25"/>
      <c r="H27" s="29" t="str">
        <f>IF(F27="","",IF(G27=0,"",IF(G27&lt;=MIN(IF(G9:G38&lt;&gt;0,G9:G38))+IFERROR((MAX(G9:G38)-MIN(IF(G9:G38&lt;&gt;0,G9:G38)))/3,0),"BANDA BAJA",IF(G27&gt;=MAX(G9:G38)-IFERROR((MAX(G9:G38)-MIN(IF(G9:G38&lt;&gt;0,G9:G38)))/3,0),"BANDA ALTA","BANDA MEDIA"))))</f>
        <v/>
      </c>
      <c r="I27" s="15"/>
      <c r="J27" s="15"/>
      <c r="K27" s="22"/>
      <c r="L27" s="25"/>
      <c r="M27" s="23"/>
    </row>
    <row r="28" spans="1:13" ht="18" customHeight="1" x14ac:dyDescent="0.35">
      <c r="A28" s="15"/>
      <c r="B28" s="22"/>
      <c r="C28" s="25"/>
      <c r="D28" s="40"/>
      <c r="E28" s="15"/>
      <c r="F28" s="22"/>
      <c r="G28" s="25"/>
      <c r="H28" s="34" t="str">
        <f>IF(F28="","",IF(G28=0,"",IF(G28&lt;=MIN(IF(G9:G38&lt;&gt;0,G9:G38))+IFERROR((MAX(G9:G38)-MIN(IF(G9:G38&lt;&gt;0,G9:G38)))/3,0),"BANDA BAJA",IF(G28&gt;=MAX(G9:G38)-IFERROR((MAX(G9:G38)-MIN(IF(G9:G38&lt;&gt;0,G9:G38)))/3,0),"BANDA ALTA","BANDA MEDIA"))))</f>
        <v/>
      </c>
      <c r="I28" s="15"/>
      <c r="J28" s="15"/>
      <c r="K28" s="22"/>
      <c r="L28" s="25"/>
      <c r="M28" s="23"/>
    </row>
    <row r="29" spans="1:13" ht="18" customHeight="1" x14ac:dyDescent="0.35">
      <c r="A29" s="15"/>
      <c r="B29" s="22"/>
      <c r="C29" s="25"/>
      <c r="D29" s="39"/>
      <c r="E29" s="15"/>
      <c r="F29" s="22"/>
      <c r="G29" s="25"/>
      <c r="H29" s="29" t="str">
        <f>IF(F29="","",IF(G29=0,"",IF(G29&lt;=MIN(IF(G9:G38&lt;&gt;0,G9:G38))+IFERROR((MAX(G9:G38)-MIN(IF(G9:G38&lt;&gt;0,G9:G38)))/3,0),"BANDA BAJA",IF(G29&gt;=MAX(G9:G38)-IFERROR((MAX(G9:G38)-MIN(IF(G9:G38&lt;&gt;0,G9:G38)))/3,0),"BANDA ALTA","BANDA MEDIA"))))</f>
        <v/>
      </c>
      <c r="I29" s="15"/>
      <c r="J29" s="15"/>
      <c r="K29" s="22"/>
      <c r="L29" s="25"/>
      <c r="M29" s="23"/>
    </row>
    <row r="30" spans="1:13" ht="18" customHeight="1" x14ac:dyDescent="0.35">
      <c r="A30" s="15"/>
      <c r="B30" s="22"/>
      <c r="C30" s="25"/>
      <c r="D30" s="40"/>
      <c r="E30" s="15"/>
      <c r="F30" s="22"/>
      <c r="G30" s="25"/>
      <c r="H30" s="34" t="str">
        <f>IF(F30="","",IF(G30=0,"",IF(G30&lt;=MIN(IF(G9:G38&lt;&gt;0,G9:G38))+IFERROR((MAX(G9:G38)-MIN(IF(G9:G38&lt;&gt;0,G9:G38)))/3,0),"BANDA BAJA",IF(G30&gt;=MAX(G9:G38)-IFERROR((MAX(G9:G38)-MIN(IF(G9:G38&lt;&gt;0,G9:G38)))/3,0),"BANDA ALTA","BANDA MEDIA"))))</f>
        <v/>
      </c>
      <c r="I30" s="15"/>
      <c r="J30" s="15"/>
      <c r="K30" s="22"/>
      <c r="L30" s="25"/>
      <c r="M30" s="23"/>
    </row>
    <row r="31" spans="1:13" ht="18" customHeight="1" x14ac:dyDescent="0.35">
      <c r="A31" s="15"/>
      <c r="B31" s="22"/>
      <c r="C31" s="25"/>
      <c r="D31" s="39"/>
      <c r="E31" s="15"/>
      <c r="F31" s="22"/>
      <c r="G31" s="25"/>
      <c r="H31" s="29" t="str">
        <f>IF(F31="","",IF(G31=0,"",IF(G31&lt;=MIN(IF(G9:G38&lt;&gt;0,G9:G38))+IFERROR((MAX(G9:G38)-MIN(IF(G9:G38&lt;&gt;0,G9:G38)))/3,0),"BANDA BAJA",IF(G31&gt;=MAX(G9:G38)-IFERROR((MAX(G9:G38)-MIN(IF(G9:G38&lt;&gt;0,G9:G38)))/3,0),"BANDA ALTA","BANDA MEDIA"))))</f>
        <v/>
      </c>
      <c r="I31" s="15"/>
      <c r="J31" s="15"/>
      <c r="K31" s="22"/>
      <c r="L31" s="25"/>
      <c r="M31" s="23"/>
    </row>
    <row r="32" spans="1:13" ht="18" customHeight="1" x14ac:dyDescent="0.35">
      <c r="A32" s="15"/>
      <c r="B32" s="22"/>
      <c r="C32" s="25"/>
      <c r="D32" s="40"/>
      <c r="E32" s="15"/>
      <c r="F32" s="22"/>
      <c r="G32" s="25"/>
      <c r="H32" s="34" t="str">
        <f>IF(F32="","",IF(G32=0,"",IF(G32&lt;=MIN(IF(G9:G38&lt;&gt;0,G9:G38))+IFERROR((MAX(G9:G38)-MIN(IF(G9:G38&lt;&gt;0,G9:G38)))/3,0),"BANDA BAJA",IF(G32&gt;=MAX(G9:G38)-IFERROR((MAX(G9:G38)-MIN(IF(G9:G38&lt;&gt;0,G9:G38)))/3,0),"BANDA ALTA","BANDA MEDIA"))))</f>
        <v/>
      </c>
      <c r="I32" s="15"/>
      <c r="J32" s="15"/>
      <c r="K32" s="22"/>
      <c r="L32" s="25"/>
      <c r="M32" s="23"/>
    </row>
    <row r="33" spans="1:13" ht="18" customHeight="1" x14ac:dyDescent="0.35">
      <c r="A33" s="15"/>
      <c r="B33" s="22"/>
      <c r="C33" s="25"/>
      <c r="D33" s="39"/>
      <c r="E33" s="15"/>
      <c r="F33" s="22"/>
      <c r="G33" s="25"/>
      <c r="H33" s="29" t="str">
        <f>IF(F33="","",IF(G33=0,"",IF(G33&lt;=MIN(IF(G9:G38&lt;&gt;0,G9:G38))+IFERROR((MAX(G9:G38)-MIN(IF(G9:G38&lt;&gt;0,G9:G38)))/3,0),"BANDA BAJA",IF(G33&gt;=MAX(G9:G38)-IFERROR((MAX(G9:G38)-MIN(IF(G9:G38&lt;&gt;0,G9:G38)))/3,0),"BANDA ALTA","BANDA MEDIA"))))</f>
        <v/>
      </c>
      <c r="I33" s="15"/>
      <c r="J33" s="15"/>
      <c r="K33" s="22"/>
      <c r="L33" s="25"/>
      <c r="M33" s="23"/>
    </row>
    <row r="34" spans="1:13" ht="18" customHeight="1" x14ac:dyDescent="0.35">
      <c r="A34" s="15"/>
      <c r="B34" s="22"/>
      <c r="C34" s="25"/>
      <c r="D34" s="40"/>
      <c r="E34" s="15"/>
      <c r="F34" s="22"/>
      <c r="G34" s="25"/>
      <c r="H34" s="34" t="str">
        <f>IF(F34="","",IF(G34=0,"",IF(G34&lt;=MIN(IF(G9:G38&lt;&gt;0,G9:G38))+IFERROR((MAX(G9:G38)-MIN(IF(G9:G38&lt;&gt;0,G9:G38)))/3,0),"BANDA BAJA",IF(G34&gt;=MAX(G9:G38)-IFERROR((MAX(G9:G38)-MIN(IF(G9:G38&lt;&gt;0,G9:G38)))/3,0),"BANDA ALTA","BANDA MEDIA"))))</f>
        <v/>
      </c>
      <c r="I34" s="15"/>
      <c r="J34" s="15"/>
      <c r="K34" s="22"/>
      <c r="L34" s="25"/>
      <c r="M34" s="23"/>
    </row>
    <row r="35" spans="1:13" ht="18" customHeight="1" x14ac:dyDescent="0.35">
      <c r="A35" s="15"/>
      <c r="B35" s="22"/>
      <c r="C35" s="25"/>
      <c r="D35" s="39"/>
      <c r="E35" s="15"/>
      <c r="F35" s="22"/>
      <c r="G35" s="25"/>
      <c r="H35" s="29" t="str">
        <f>IF(F35="","",IF(G35=0,"",IF(G35&lt;=MIN(IF(G9:G38&lt;&gt;0,G9:G38))+IFERROR((MAX(G9:G38)-MIN(IF(G9:G38&lt;&gt;0,G9:G38)))/3,0),"BANDA BAJA",IF(G35&gt;=MAX(G9:G38)-IFERROR((MAX(G9:G38)-MIN(IF(G9:G38&lt;&gt;0,G9:G38)))/3,0),"BANDA ALTA","BANDA MEDIA"))))</f>
        <v/>
      </c>
      <c r="I35" s="15"/>
      <c r="J35" s="15"/>
      <c r="K35" s="22"/>
      <c r="L35" s="25"/>
      <c r="M35" s="23"/>
    </row>
    <row r="36" spans="1:13" ht="18" customHeight="1" x14ac:dyDescent="0.35">
      <c r="A36" s="15"/>
      <c r="B36" s="22"/>
      <c r="C36" s="25"/>
      <c r="D36" s="40"/>
      <c r="E36" s="15"/>
      <c r="F36" s="22"/>
      <c r="G36" s="25"/>
      <c r="H36" s="34" t="str">
        <f>IF(F36="","",IF(G36=0,"",IF(G36&lt;=MIN(IF(G9:G38&lt;&gt;0,G9:G38))+IFERROR((MAX(G9:G38)-MIN(IF(G9:G38&lt;&gt;0,G9:G38)))/3,0),"BANDA BAJA",IF(G36&gt;=MAX(G9:G38)-IFERROR((MAX(G9:G38)-MIN(IF(G9:G38&lt;&gt;0,G9:G38)))/3,0),"BANDA ALTA","BANDA MEDIA"))))</f>
        <v/>
      </c>
      <c r="I36" s="15"/>
      <c r="J36" s="15"/>
      <c r="K36" s="22"/>
      <c r="L36" s="25"/>
      <c r="M36" s="23"/>
    </row>
    <row r="37" spans="1:13" ht="18" customHeight="1" x14ac:dyDescent="0.35">
      <c r="A37" s="15"/>
      <c r="B37" s="22"/>
      <c r="C37" s="25"/>
      <c r="D37" s="39"/>
      <c r="E37" s="15"/>
      <c r="F37" s="22"/>
      <c r="G37" s="25"/>
      <c r="H37" s="29" t="str">
        <f>IF(F37="","",IF(G37=0,"",IF(G37&lt;=MIN(IF(G9:G38&lt;&gt;0,G9:G38))+IFERROR((MAX(G9:G38)-MIN(IF(G9:G38&lt;&gt;0,G9:G38)))/3,0),"BANDA BAJA",IF(G37&gt;=MAX(G9:G38)-IFERROR((MAX(G9:G38)-MIN(IF(G9:G38&lt;&gt;0,G9:G38)))/3,0),"BANDA ALTA","BANDA MEDIA"))))</f>
        <v/>
      </c>
      <c r="I37" s="15"/>
      <c r="J37" s="15"/>
      <c r="K37" s="22"/>
      <c r="L37" s="25"/>
      <c r="M37" s="23"/>
    </row>
    <row r="38" spans="1:13" ht="18" customHeight="1" x14ac:dyDescent="0.35">
      <c r="A38" s="15"/>
      <c r="B38" s="22"/>
      <c r="C38" s="25"/>
      <c r="D38" s="40"/>
      <c r="E38" s="15"/>
      <c r="F38" s="22"/>
      <c r="G38" s="25"/>
      <c r="H38" s="34" t="str">
        <f>IF(F38="","",IF(G38=0,"",IF(G38&lt;=MIN(IF(G9:G38&lt;&gt;0,G9:G38))+IFERROR((MAX(G9:G38)-MIN(IF(G9:G38&lt;&gt;0,G9:G38)))/3,0),"BANDA BAJA",IF(G38&gt;=MAX(G9:G38)-IFERROR((MAX(G9:G38)-MIN(IF(G9:G38&lt;&gt;0,G9:G38)))/3,0),"BANDA ALTA","BANDA MEDIA"))))</f>
        <v/>
      </c>
      <c r="I38" s="15"/>
      <c r="J38" s="15"/>
      <c r="K38" s="22"/>
      <c r="L38" s="25"/>
      <c r="M38" s="23"/>
    </row>
    <row r="39" spans="1:13" ht="7.5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ht="21.75" customHeight="1" x14ac:dyDescent="0.35">
      <c r="A40" s="15"/>
      <c r="B40" s="41" t="s">
        <v>95</v>
      </c>
      <c r="C40" s="42">
        <f>IFERROR(MIN(IF(C9:C38&lt;&gt;0,C9:C38)),0)</f>
        <v>0</v>
      </c>
      <c r="D40" s="15"/>
      <c r="E40" s="15"/>
      <c r="F40" s="41" t="s">
        <v>95</v>
      </c>
      <c r="G40" s="42">
        <f>IFERROR(MIN(IF(G9:G38&lt;&gt;0,G9:G38)),0)</f>
        <v>0</v>
      </c>
      <c r="H40" s="15"/>
      <c r="I40" s="15"/>
      <c r="J40" s="15"/>
      <c r="K40" s="41" t="s">
        <v>96</v>
      </c>
      <c r="L40" s="68">
        <f>IFERROR(AVERAGE(IF(L9:L38&lt;&gt;0,L9:L38)),0)</f>
        <v>0</v>
      </c>
      <c r="M40" s="68"/>
    </row>
    <row r="41" spans="1:13" ht="21.75" customHeight="1" x14ac:dyDescent="0.35">
      <c r="A41" s="15"/>
      <c r="B41" s="41" t="s">
        <v>97</v>
      </c>
      <c r="C41" s="42">
        <f>IFERROR(MAX(C9:C38),0)</f>
        <v>0</v>
      </c>
      <c r="D41" s="15"/>
      <c r="E41" s="15"/>
      <c r="F41" s="41" t="s">
        <v>97</v>
      </c>
      <c r="G41" s="42">
        <f>IFERROR(MAX(G9:G38),0)</f>
        <v>0</v>
      </c>
      <c r="H41" s="15"/>
      <c r="I41" s="15"/>
      <c r="J41" s="15"/>
      <c r="K41" s="41" t="s">
        <v>98</v>
      </c>
      <c r="L41" s="68">
        <f>IFERROR(SUMPRODUCT(L9:L38,M9:M38)/SUM(M9:M38),0)</f>
        <v>0</v>
      </c>
      <c r="M41" s="68"/>
    </row>
    <row r="42" spans="1:13" ht="21.75" customHeight="1" x14ac:dyDescent="0.35">
      <c r="A42" s="15"/>
      <c r="B42" s="41" t="s">
        <v>99</v>
      </c>
      <c r="C42" s="43">
        <f>IFERROR(MAX(C9:C38)/MIN(IF(C9:C38&lt;&gt;0,C9:C38)),0)</f>
        <v>0</v>
      </c>
      <c r="D42" s="15"/>
      <c r="E42" s="15"/>
      <c r="F42" s="41" t="s">
        <v>100</v>
      </c>
      <c r="G42" s="43">
        <f>IFERROR((MAX(G9:G38)-MIN(IF(G9:G38&lt;&gt;0,G9:G38)))/3,0)</f>
        <v>0</v>
      </c>
      <c r="H42" s="15"/>
      <c r="I42" s="15"/>
      <c r="J42" s="15"/>
      <c r="K42" s="41" t="s">
        <v>101</v>
      </c>
      <c r="L42" s="69">
        <f>IFERROR(SUMPRODUCT(L9:L38,M9:M38)/SUM(M9:M38)/AVERAGE(IF(L9:L38&lt;&gt;0,L9:L38)),0)</f>
        <v>0</v>
      </c>
      <c r="M42" s="69"/>
    </row>
    <row r="43" spans="1:13" ht="21.75" customHeight="1" x14ac:dyDescent="0.35">
      <c r="A43" s="15"/>
      <c r="B43" s="41" t="s">
        <v>102</v>
      </c>
      <c r="C43" s="34">
        <f>COUNTA(B9:B38)</f>
        <v>0</v>
      </c>
      <c r="D43" s="15"/>
      <c r="E43" s="15"/>
      <c r="F43" s="41" t="s">
        <v>103</v>
      </c>
      <c r="G43" s="42">
        <f>IFERROR(MIN(IF(G9:G38&lt;&gt;0,G9:G38))+(MAX(G9:G38)-MIN(IF(G9:G38&lt;&gt;0,G9:G38)))/3,0)</f>
        <v>0</v>
      </c>
      <c r="H43" s="15"/>
      <c r="I43" s="15"/>
      <c r="J43" s="15"/>
      <c r="K43" s="44" t="s">
        <v>104</v>
      </c>
      <c r="L43" s="70" t="str">
        <f>IF(COUNTA(K9:K38)=0,"Introduce datos",IF(IFERROR(SUMPRODUCT(L9:L38,M9:M38)/SUM(M9:M38)/AVERAGE(IF(L9:L38&lt;&gt;0,L9:L38)),0)&lt;0.9,"⚠️ Precios muy altos",IF(IFERROR(SUMPRODUCT(L9:L38,M9:M38)/SUM(M9:M38)/AVERAGE(IF(L9:L38&lt;&gt;0,L9:L38)),0)&gt;1,"✅ Margen para subir precios","✅ Precios adecuados")))</f>
        <v>Introduce datos</v>
      </c>
      <c r="M43" s="70"/>
    </row>
    <row r="44" spans="1:13" ht="21.75" customHeight="1" x14ac:dyDescent="0.35">
      <c r="A44" s="15"/>
      <c r="B44" s="41" t="s">
        <v>105</v>
      </c>
      <c r="C44" s="34">
        <f>IF(COUNTA(B9:B38)&gt;=12,3,2.5)</f>
        <v>2.5</v>
      </c>
      <c r="D44" s="15"/>
      <c r="E44" s="15"/>
      <c r="F44" s="41" t="s">
        <v>106</v>
      </c>
      <c r="G44" s="42">
        <f>IFERROR(MAX(G9:G38)-(MAX(G9:G38)-MIN(IF(G9:G38&lt;&gt;0,G9:G38)))/3,0)</f>
        <v>0</v>
      </c>
      <c r="H44" s="15"/>
      <c r="I44" s="15"/>
      <c r="J44" s="15"/>
      <c r="K44" s="44" t="s">
        <v>107</v>
      </c>
      <c r="L44" s="70" t="str">
        <f>IF(COUNTA(K9:K38)=0,"",IF(IFERROR(SUMPRODUCT(L9:L38,M9:M38)/SUM(M9:M38)/AVERAGE(IF(L9:L38&lt;&gt;0,L9:L38)),0)&gt;1,"Sube precios en Banda Media y Alta un 5-10% de forma gradual","Precios bien calibrados. Monitoriza cada trimestre."))</f>
        <v/>
      </c>
      <c r="M44" s="70"/>
    </row>
    <row r="45" spans="1:13" ht="19.5" customHeight="1" x14ac:dyDescent="0.35">
      <c r="A45" s="15"/>
      <c r="B45" s="44" t="s">
        <v>108</v>
      </c>
      <c r="C45" s="46" t="str">
        <f>IF(COUNTA(B9:B38)=0,"Introduce datos",IF(IFERROR(MAX(C9:C38)/MIN(IF(C9:C38&lt;&gt;0,C9:C38)),0)&lt;=IF(COUNTA(B9:B38)&gt;=12,3,2.5),"✅ CUMPLE","⚠️ REVISAR"))</f>
        <v>Introduce datos</v>
      </c>
      <c r="D45" s="15"/>
      <c r="E45" s="15"/>
      <c r="F45" s="41" t="s">
        <v>109</v>
      </c>
      <c r="G45" s="34">
        <f>COUNTIF(H9:H38,"BANDA BAJA")</f>
        <v>0</v>
      </c>
      <c r="H45" s="15"/>
      <c r="I45" s="15"/>
      <c r="J45" s="15"/>
      <c r="K45" s="15"/>
      <c r="L45" s="15"/>
      <c r="M45" s="15"/>
    </row>
    <row r="46" spans="1:13" ht="19.5" customHeight="1" x14ac:dyDescent="0.35">
      <c r="A46" s="15"/>
      <c r="B46" s="15"/>
      <c r="C46" s="15"/>
      <c r="D46" s="15"/>
      <c r="E46" s="15"/>
      <c r="F46" s="41" t="s">
        <v>110</v>
      </c>
      <c r="G46" s="34">
        <f>COUNTIF(H9:H38,"BANDA MEDIA")</f>
        <v>0</v>
      </c>
      <c r="H46" s="15"/>
      <c r="I46" s="15"/>
      <c r="J46" s="15"/>
      <c r="K46" s="15"/>
      <c r="L46" s="15"/>
      <c r="M46" s="15"/>
    </row>
    <row r="47" spans="1:13" ht="19.5" customHeight="1" x14ac:dyDescent="0.35">
      <c r="A47" s="15"/>
      <c r="B47" s="15"/>
      <c r="C47" s="15"/>
      <c r="D47" s="15"/>
      <c r="E47" s="15"/>
      <c r="F47" s="41" t="s">
        <v>111</v>
      </c>
      <c r="G47" s="34">
        <f>COUNTIF(H9:H38,"BANDA ALTA")</f>
        <v>0</v>
      </c>
      <c r="H47" s="15"/>
      <c r="I47" s="15"/>
      <c r="J47" s="15"/>
      <c r="K47" s="15"/>
      <c r="L47" s="15"/>
      <c r="M47" s="15"/>
    </row>
    <row r="48" spans="1:13" ht="19.5" customHeight="1" x14ac:dyDescent="0.35">
      <c r="A48" s="15"/>
      <c r="B48" s="15"/>
      <c r="C48" s="15"/>
      <c r="D48" s="15"/>
      <c r="E48" s="15"/>
      <c r="F48" s="44" t="s">
        <v>108</v>
      </c>
      <c r="G48" s="46" t="str">
        <f>IF(COUNTA(F9:F38)=0,"Introduce datos",IF(COUNTIF(H9:H38,"BANDA BAJA")+COUNTIF(H9:H38,"BANDA ALTA")&gt;=COUNTIF(H9:H38,"BANDA MEDIA"),"✅ CUMPLE","⚠️ REVISAR"))</f>
        <v>Introduce datos</v>
      </c>
      <c r="H48" s="15"/>
      <c r="I48" s="15"/>
      <c r="J48" s="15"/>
      <c r="K48" s="15"/>
      <c r="L48" s="15"/>
      <c r="M48" s="15"/>
    </row>
  </sheetData>
  <sheetProtection password="AAC6" sheet="1"/>
  <mergeCells count="14">
    <mergeCell ref="L42:M42"/>
    <mergeCell ref="L43:M43"/>
    <mergeCell ref="L44:M44"/>
    <mergeCell ref="B7:D7"/>
    <mergeCell ref="F7:H7"/>
    <mergeCell ref="K7:M7"/>
    <mergeCell ref="L40:M40"/>
    <mergeCell ref="L41:M41"/>
    <mergeCell ref="B2:M2"/>
    <mergeCell ref="B3:M3"/>
    <mergeCell ref="B4:M4"/>
    <mergeCell ref="B6:D6"/>
    <mergeCell ref="F6:H6"/>
    <mergeCell ref="K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showGridLines="0" zoomScaleNormal="100" workbookViewId="0">
      <selection activeCell="K9" sqref="K9"/>
    </sheetView>
  </sheetViews>
  <sheetFormatPr defaultColWidth="8.6328125" defaultRowHeight="14.5" x14ac:dyDescent="0.35"/>
  <cols>
    <col min="1" max="1" width="2" customWidth="1"/>
    <col min="2" max="3" width="38" customWidth="1"/>
    <col min="4" max="4" width="2" customWidth="1"/>
  </cols>
  <sheetData>
    <row r="1" spans="1:3" ht="7.5" customHeight="1" x14ac:dyDescent="0.35">
      <c r="A1" s="15"/>
      <c r="B1" s="15"/>
      <c r="C1" s="15"/>
    </row>
    <row r="2" spans="1:3" ht="36" customHeight="1" x14ac:dyDescent="0.35">
      <c r="A2" s="15"/>
      <c r="B2" s="59" t="s">
        <v>112</v>
      </c>
      <c r="C2" s="59"/>
    </row>
    <row r="3" spans="1:3" ht="18" customHeight="1" x14ac:dyDescent="0.35">
      <c r="A3" s="15"/>
      <c r="B3" s="61" t="s">
        <v>113</v>
      </c>
      <c r="C3" s="61"/>
    </row>
    <row r="4" spans="1:3" ht="3" customHeight="1" x14ac:dyDescent="0.35">
      <c r="A4" s="15"/>
      <c r="B4" s="12"/>
      <c r="C4" s="12"/>
    </row>
    <row r="5" spans="1:3" ht="9.75" customHeight="1" x14ac:dyDescent="0.35">
      <c r="A5" s="15"/>
      <c r="B5" s="15"/>
      <c r="C5" s="15"/>
    </row>
    <row r="6" spans="1:3" ht="30" customHeight="1" x14ac:dyDescent="0.35">
      <c r="A6" s="15"/>
      <c r="B6" s="71" t="s">
        <v>114</v>
      </c>
      <c r="C6" s="71"/>
    </row>
    <row r="7" spans="1:3" ht="27.75" customHeight="1" x14ac:dyDescent="0.35">
      <c r="A7" s="15"/>
      <c r="B7" s="72" t="s">
        <v>115</v>
      </c>
      <c r="C7" s="72"/>
    </row>
    <row r="8" spans="1:3" ht="19.5" customHeight="1" x14ac:dyDescent="0.35">
      <c r="A8" s="15"/>
      <c r="B8" s="73" t="s">
        <v>116</v>
      </c>
      <c r="C8" s="73"/>
    </row>
    <row r="9" spans="1:3" ht="19.5" customHeight="1" x14ac:dyDescent="0.35">
      <c r="A9" s="15"/>
      <c r="B9" s="74" t="s">
        <v>117</v>
      </c>
      <c r="C9" s="74"/>
    </row>
    <row r="10" spans="1:3" ht="19.5" customHeight="1" x14ac:dyDescent="0.35">
      <c r="A10" s="15"/>
      <c r="B10" s="73" t="s">
        <v>118</v>
      </c>
      <c r="C10" s="73"/>
    </row>
    <row r="11" spans="1:3" ht="19.5" customHeight="1" x14ac:dyDescent="0.35">
      <c r="A11" s="15"/>
      <c r="B11" s="74" t="s">
        <v>119</v>
      </c>
      <c r="C11" s="74"/>
    </row>
    <row r="12" spans="1:3" ht="19.5" customHeight="1" x14ac:dyDescent="0.35">
      <c r="A12" s="15"/>
      <c r="B12" s="73" t="s">
        <v>120</v>
      </c>
      <c r="C12" s="73"/>
    </row>
    <row r="13" spans="1:3" ht="19.5" customHeight="1" x14ac:dyDescent="0.35">
      <c r="A13" s="15"/>
      <c r="B13" s="74" t="s">
        <v>121</v>
      </c>
      <c r="C13" s="74"/>
    </row>
    <row r="14" spans="1:3" x14ac:dyDescent="0.35">
      <c r="A14" s="15"/>
      <c r="B14" s="15"/>
      <c r="C14" s="15"/>
    </row>
    <row r="15" spans="1:3" ht="30" customHeight="1" x14ac:dyDescent="0.35">
      <c r="A15" s="15"/>
      <c r="B15" s="75" t="s">
        <v>122</v>
      </c>
      <c r="C15" s="75"/>
    </row>
    <row r="16" spans="1:3" ht="27.75" customHeight="1" x14ac:dyDescent="0.35">
      <c r="A16" s="15"/>
      <c r="B16" s="76" t="s">
        <v>123</v>
      </c>
      <c r="C16" s="76"/>
    </row>
    <row r="17" spans="1:3" ht="19.5" customHeight="1" x14ac:dyDescent="0.35">
      <c r="A17" s="15"/>
      <c r="B17" s="74" t="s">
        <v>124</v>
      </c>
      <c r="C17" s="74"/>
    </row>
    <row r="18" spans="1:3" ht="19.5" customHeight="1" x14ac:dyDescent="0.35">
      <c r="A18" s="15"/>
      <c r="B18" s="73" t="s">
        <v>125</v>
      </c>
      <c r="C18" s="73"/>
    </row>
    <row r="19" spans="1:3" ht="19.5" customHeight="1" x14ac:dyDescent="0.35">
      <c r="A19" s="15"/>
      <c r="B19" s="74" t="s">
        <v>126</v>
      </c>
      <c r="C19" s="74"/>
    </row>
    <row r="20" spans="1:3" ht="19.5" customHeight="1" x14ac:dyDescent="0.35">
      <c r="A20" s="15"/>
      <c r="B20" s="73" t="s">
        <v>127</v>
      </c>
      <c r="C20" s="73"/>
    </row>
    <row r="21" spans="1:3" ht="19.5" customHeight="1" x14ac:dyDescent="0.35">
      <c r="A21" s="15"/>
      <c r="B21" s="74" t="s">
        <v>128</v>
      </c>
      <c r="C21" s="74"/>
    </row>
    <row r="22" spans="1:3" x14ac:dyDescent="0.35">
      <c r="A22" s="15"/>
      <c r="B22" s="15"/>
      <c r="C22" s="15"/>
    </row>
    <row r="23" spans="1:3" ht="30" customHeight="1" x14ac:dyDescent="0.35">
      <c r="A23" s="15"/>
      <c r="B23" s="77" t="s">
        <v>129</v>
      </c>
      <c r="C23" s="77"/>
    </row>
    <row r="24" spans="1:3" ht="27.75" customHeight="1" x14ac:dyDescent="0.35">
      <c r="A24" s="15"/>
      <c r="B24" s="78" t="s">
        <v>130</v>
      </c>
      <c r="C24" s="78"/>
    </row>
    <row r="25" spans="1:3" ht="19.5" customHeight="1" x14ac:dyDescent="0.35">
      <c r="A25" s="15"/>
      <c r="B25" s="74" t="s">
        <v>131</v>
      </c>
      <c r="C25" s="74"/>
    </row>
    <row r="26" spans="1:3" ht="19.5" customHeight="1" x14ac:dyDescent="0.35">
      <c r="A26" s="15"/>
      <c r="B26" s="73" t="s">
        <v>132</v>
      </c>
      <c r="C26" s="73"/>
    </row>
    <row r="27" spans="1:3" ht="19.5" customHeight="1" x14ac:dyDescent="0.35">
      <c r="A27" s="15"/>
      <c r="B27" s="74" t="s">
        <v>133</v>
      </c>
      <c r="C27" s="74"/>
    </row>
    <row r="28" spans="1:3" ht="19.5" customHeight="1" x14ac:dyDescent="0.35">
      <c r="A28" s="15"/>
      <c r="B28" s="73" t="s">
        <v>134</v>
      </c>
      <c r="C28" s="73"/>
    </row>
    <row r="29" spans="1:3" ht="19.5" customHeight="1" x14ac:dyDescent="0.35">
      <c r="A29" s="15"/>
      <c r="B29" s="74" t="s">
        <v>135</v>
      </c>
      <c r="C29" s="74"/>
    </row>
    <row r="30" spans="1:3" ht="19.5" customHeight="1" x14ac:dyDescent="0.35">
      <c r="A30" s="15"/>
      <c r="B30" s="73" t="s">
        <v>136</v>
      </c>
      <c r="C30" s="73"/>
    </row>
    <row r="31" spans="1:3" x14ac:dyDescent="0.35">
      <c r="A31" s="15"/>
      <c r="B31" s="15"/>
      <c r="C31" s="15"/>
    </row>
    <row r="32" spans="1:3" ht="30" customHeight="1" x14ac:dyDescent="0.35">
      <c r="A32" s="15"/>
      <c r="B32" s="79" t="s">
        <v>137</v>
      </c>
      <c r="C32" s="79"/>
    </row>
    <row r="33" spans="1:3" ht="27.75" customHeight="1" x14ac:dyDescent="0.35">
      <c r="A33" s="15"/>
      <c r="B33" s="80" t="s">
        <v>138</v>
      </c>
      <c r="C33" s="80"/>
    </row>
    <row r="34" spans="1:3" ht="19.5" customHeight="1" x14ac:dyDescent="0.35">
      <c r="A34" s="15"/>
      <c r="B34" s="73" t="s">
        <v>139</v>
      </c>
      <c r="C34" s="73"/>
    </row>
    <row r="35" spans="1:3" ht="19.5" customHeight="1" x14ac:dyDescent="0.35">
      <c r="A35" s="15"/>
      <c r="B35" s="74" t="s">
        <v>140</v>
      </c>
      <c r="C35" s="74"/>
    </row>
    <row r="36" spans="1:3" ht="19.5" customHeight="1" x14ac:dyDescent="0.35">
      <c r="A36" s="15"/>
      <c r="B36" s="73" t="s">
        <v>141</v>
      </c>
      <c r="C36" s="73"/>
    </row>
    <row r="37" spans="1:3" ht="19.5" customHeight="1" x14ac:dyDescent="0.35">
      <c r="A37" s="15"/>
      <c r="B37" s="74" t="s">
        <v>142</v>
      </c>
      <c r="C37" s="74"/>
    </row>
    <row r="38" spans="1:3" ht="19.5" customHeight="1" x14ac:dyDescent="0.35">
      <c r="A38" s="15"/>
      <c r="B38" s="73" t="s">
        <v>143</v>
      </c>
      <c r="C38" s="73"/>
    </row>
    <row r="39" spans="1:3" x14ac:dyDescent="0.35">
      <c r="A39" s="15"/>
      <c r="B39" s="15"/>
      <c r="C39" s="15"/>
    </row>
    <row r="40" spans="1:3" x14ac:dyDescent="0.35">
      <c r="A40" s="15"/>
      <c r="B40" s="15"/>
      <c r="C40" s="15"/>
    </row>
    <row r="41" spans="1:3" ht="27.75" customHeight="1" x14ac:dyDescent="0.35">
      <c r="A41" s="15"/>
      <c r="B41" s="81" t="s">
        <v>144</v>
      </c>
      <c r="C41" s="81"/>
    </row>
    <row r="42" spans="1:3" ht="24" customHeight="1" x14ac:dyDescent="0.35">
      <c r="A42" s="15"/>
      <c r="B42" s="82" t="s">
        <v>145</v>
      </c>
      <c r="C42" s="82"/>
    </row>
    <row r="43" spans="1:3" ht="21.75" customHeight="1" x14ac:dyDescent="0.35">
      <c r="A43" s="15"/>
      <c r="B43" s="83"/>
      <c r="C43" s="83"/>
    </row>
    <row r="44" spans="1:3" ht="24" customHeight="1" x14ac:dyDescent="0.35">
      <c r="A44" s="15"/>
      <c r="B44" s="82" t="s">
        <v>146</v>
      </c>
      <c r="C44" s="82"/>
    </row>
    <row r="45" spans="1:3" ht="21.75" customHeight="1" x14ac:dyDescent="0.35">
      <c r="A45" s="15"/>
      <c r="B45" s="83"/>
      <c r="C45" s="83"/>
    </row>
    <row r="46" spans="1:3" ht="24" customHeight="1" x14ac:dyDescent="0.35">
      <c r="A46" s="15"/>
      <c r="B46" s="82" t="s">
        <v>147</v>
      </c>
      <c r="C46" s="82"/>
    </row>
    <row r="47" spans="1:3" ht="21.75" customHeight="1" x14ac:dyDescent="0.35">
      <c r="A47" s="15"/>
      <c r="B47" s="83"/>
      <c r="C47" s="83"/>
    </row>
    <row r="48" spans="1:3" x14ac:dyDescent="0.35">
      <c r="A48" s="15"/>
      <c r="B48" s="15"/>
      <c r="C48" s="15"/>
    </row>
    <row r="49" spans="1:3" ht="24" customHeight="1" x14ac:dyDescent="0.35">
      <c r="A49" s="15"/>
      <c r="B49" s="57" t="s">
        <v>148</v>
      </c>
      <c r="C49" s="57"/>
    </row>
  </sheetData>
  <sheetProtection password="AAC6" sheet="1"/>
  <mergeCells count="41">
    <mergeCell ref="B49:C49"/>
    <mergeCell ref="B43:C43"/>
    <mergeCell ref="B44:C44"/>
    <mergeCell ref="B45:C45"/>
    <mergeCell ref="B46:C46"/>
    <mergeCell ref="B47:C47"/>
    <mergeCell ref="B36:C36"/>
    <mergeCell ref="B37:C37"/>
    <mergeCell ref="B38:C38"/>
    <mergeCell ref="B41:C41"/>
    <mergeCell ref="B42:C42"/>
    <mergeCell ref="B30:C30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19:C19"/>
    <mergeCell ref="B20:C20"/>
    <mergeCell ref="B21:C21"/>
    <mergeCell ref="B23:C23"/>
    <mergeCell ref="B24:C24"/>
    <mergeCell ref="B13:C13"/>
    <mergeCell ref="B15:C15"/>
    <mergeCell ref="B16:C16"/>
    <mergeCell ref="B17:C17"/>
    <mergeCell ref="B18:C18"/>
    <mergeCell ref="B8:C8"/>
    <mergeCell ref="B9:C9"/>
    <mergeCell ref="B10:C10"/>
    <mergeCell ref="B11:C11"/>
    <mergeCell ref="B12:C12"/>
    <mergeCell ref="B2:C2"/>
    <mergeCell ref="B3:C3"/>
    <mergeCell ref="B4:C4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📖 INSTRUCCIONES</vt:lpstr>
      <vt:lpstr>📊 CALCULADORA BCG</vt:lpstr>
      <vt:lpstr>📐 PRINCIPIOS OMNES</vt:lpstr>
      <vt:lpstr>🎯 PLAN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Chema  Gonzalez</cp:lastModifiedBy>
  <cp:revision>0</cp:revision>
  <dcterms:created xsi:type="dcterms:W3CDTF">2026-03-08T13:00:15Z</dcterms:created>
  <dcterms:modified xsi:type="dcterms:W3CDTF">2026-03-08T16:25:30Z</dcterms:modified>
  <dc:language>en-US</dc:language>
</cp:coreProperties>
</file>