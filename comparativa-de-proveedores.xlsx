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SE USA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FICHAS" sheetId="3" state="visible" r:id="rId3"/>
    <sheet xmlns:r="http://schemas.openxmlformats.org/officeDocument/2006/relationships" name="EJEMP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#"/>
    <numFmt numFmtId="165" formatCode="#,##0.00 &quot;€&quot;"/>
    <numFmt numFmtId="166" formatCode="#,##0.0000 &quot;€&quot;"/>
    <numFmt numFmtId="167" formatCode="0.0 %"/>
  </numFmts>
  <fonts count="14">
    <font>
      <name val="Calibri"/>
      <family val="2"/>
      <color theme="1"/>
      <sz val="11"/>
      <scheme val="minor"/>
    </font>
    <font>
      <name val="Calibri"/>
      <b val="1"/>
      <color rgb="00A32834"/>
      <sz val="18"/>
    </font>
    <font>
      <name val="Calibri"/>
      <color rgb="005E6266"/>
      <sz val="9"/>
    </font>
    <font>
      <name val="Calibri"/>
      <b val="1"/>
      <color rgb="0015171B"/>
      <sz val="12"/>
    </font>
    <font>
      <b val="1"/>
      <color rgb="00A32834"/>
      <sz val="11"/>
    </font>
    <font>
      <b val="1"/>
      <color rgb="0015171B"/>
      <sz val="10.5"/>
    </font>
    <font>
      <name val="Calibri"/>
      <color rgb="0015171B"/>
      <sz val="10.5"/>
    </font>
    <font>
      <b val="1"/>
      <color rgb="005E6266"/>
      <sz val="10.5"/>
    </font>
    <font>
      <b val="1"/>
      <color rgb="00B8860B"/>
      <sz val="10.5"/>
    </font>
    <font>
      <b val="1"/>
      <color rgb="00A32834"/>
      <sz val="10.5"/>
    </font>
    <font>
      <name val="Calibri"/>
      <i val="1"/>
      <color rgb="005E6266"/>
      <sz val="9"/>
    </font>
    <font>
      <name val="Calibri"/>
      <b val="1"/>
      <color rgb="00FFFFFF"/>
      <sz val="10"/>
    </font>
    <font>
      <b val="1"/>
      <color rgb="001F6F4A"/>
      <sz val="10.5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A32834"/>
      </patternFill>
    </fill>
    <fill>
      <patternFill patternType="solid">
        <fgColor rgb="00FFFDF5"/>
      </patternFill>
    </fill>
    <fill>
      <patternFill patternType="solid">
        <fgColor rgb="00F6F5F2"/>
      </patternFill>
    </fill>
  </fills>
  <borders count="2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0" borderId="0" applyAlignment="1" pivotButton="0" quotePrefix="0" xfId="0">
      <alignment vertical="center" wrapText="1"/>
    </xf>
    <xf numFmtId="0" fontId="8" fillId="0" borderId="1" pivotButton="0" quotePrefix="0" xfId="0"/>
    <xf numFmtId="0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166" fontId="12" fillId="4" borderId="1" pivotButton="0" quotePrefix="0" xfId="0"/>
    <xf numFmtId="166" fontId="0" fillId="3" borderId="1" pivotButton="0" quotePrefix="0" xfId="0"/>
    <xf numFmtId="165" fontId="9" fillId="4" borderId="1" pivotButton="0" quotePrefix="0" xfId="0"/>
    <xf numFmtId="167" fontId="0" fillId="4" borderId="1" pivotButton="0" quotePrefix="0" xfId="0"/>
    <xf numFmtId="0" fontId="13" fillId="2" borderId="0" applyAlignment="1" pivotButton="0" quotePrefix="0" xfId="0">
      <alignment horizontal="right" vertical="center"/>
    </xf>
    <xf numFmtId="165" fontId="13" fillId="2" borderId="0" pivotButton="0" quotePrefix="0" xfId="0"/>
    <xf numFmtId="0" fontId="10" fillId="0" borderId="0" pivotButton="0" quotePrefix="0" xfId="0"/>
    <xf numFmtId="0" fontId="5" fillId="4" borderId="1" pivotButton="0" quotePrefix="0" xfId="0"/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78" customWidth="1" min="3" max="3"/>
  </cols>
  <sheetData>
    <row r="1" ht="26" customHeight="1">
      <c r="A1" s="1" t="inlineStr">
        <is>
          <t>Comparativa de proveedores</t>
        </is>
      </c>
    </row>
    <row r="2">
      <c r="A2" s="2" t="inlineStr">
        <is>
          <t>El Metodo 360 · elmetodo360.com</t>
        </is>
      </c>
    </row>
    <row r="3" ht="6" customHeight="1"/>
    <row r="5">
      <c r="B5" s="3" t="inlineStr">
        <is>
          <t>Los cinco principios</t>
        </is>
      </c>
    </row>
    <row r="6" ht="46" customHeight="1">
      <c r="A6" s="4" t="n">
        <v>1</v>
      </c>
      <c r="B6" s="5" t="inlineStr">
        <is>
          <t>Compara por unidad, no por envase.</t>
        </is>
      </c>
      <c r="C6" s="6" t="inlineStr">
        <is>
          <t>Divide siempre el precio entre el contenido real: euros por kilo, por litro o por unidad servida. Es la unica forma de comparar una garrafa de 5 L con un bidon de 25.</t>
        </is>
      </c>
    </row>
    <row r="7" ht="46" customHeight="1">
      <c r="A7" s="4" t="n">
        <v>2</v>
      </c>
      <c r="B7" s="5" t="inlineStr">
        <is>
          <t>Con el consumo delante, no de memoria.</t>
        </is>
      </c>
      <c r="C7" s="6" t="inlineStr">
        <is>
          <t>Un producto con dos centimos de diferencia y mil unidades al ano pesa mas que uno con dos euros de diferencia y diez. La hoja ordena por ahorro anual, no por porcentaje.</t>
        </is>
      </c>
    </row>
    <row r="8" ht="46" customHeight="1">
      <c r="A8" s="4" t="n">
        <v>3</v>
      </c>
      <c r="B8" s="5" t="inlineStr">
        <is>
          <t>Tres proveedores, no dos.</t>
        </is>
      </c>
      <c r="C8" s="6" t="inlineStr">
        <is>
          <t>Con dos, el segundo siempre parece caro. Con tres se ve el precio de mercado, y se ve cuando el que tienes esta fuera de sitio.</t>
        </is>
      </c>
    </row>
    <row r="9" ht="46" customHeight="1">
      <c r="A9" s="4" t="n">
        <v>4</v>
      </c>
      <c r="B9" s="5" t="inlineStr">
        <is>
          <t>El servicio tambien tiene precio.</t>
        </is>
      </c>
      <c r="C9" s="6" t="inlineStr">
        <is>
          <t>Un proveedor mas barato que falla un sabado te cuesta el servicio entero. Puntua el cumplimiento y descuentaselo al ahorro antes de decidir.</t>
        </is>
      </c>
    </row>
    <row r="10" ht="46" customHeight="1">
      <c r="A10" s="4" t="n">
        <v>5</v>
      </c>
      <c r="B10" s="5" t="inlineStr">
        <is>
          <t>Se renegocia con datos, no con simpatia.</t>
        </is>
      </c>
      <c r="C10" s="6" t="inlineStr">
        <is>
          <t>Ensenar la comparativa impresa cambia mas precios que cualquier conversacion. Y no rompe la relacion: la ordena.</t>
        </is>
      </c>
    </row>
    <row r="12">
      <c r="B12" s="3" t="inlineStr">
        <is>
          <t>Cuando cambiar y cuando no</t>
        </is>
      </c>
    </row>
    <row r="13" ht="40" customHeight="1">
      <c r="B13" s="7" t="inlineStr">
        <is>
          <t>Mejora por debajo del 4 %</t>
        </is>
      </c>
      <c r="C13" s="8" t="inlineStr">
        <is>
          <t>No lo toques. Cambiar tiene un coste que no aparece en ninguna factura: el alta, los plazos, las primeras incidencias y el genero que todavia no conoces.</t>
        </is>
      </c>
    </row>
    <row r="14" ht="40" customHeight="1">
      <c r="B14" s="9" t="inlineStr">
        <is>
          <t>Entre el 4 y el 9 %</t>
        </is>
      </c>
      <c r="C14" s="8" t="inlineStr">
        <is>
          <t>Te quedas y renegocias, con la comparativa impresa encima de la mesa. Es la banda donde mas precios se mueven sin cambiar de proveedor.</t>
        </is>
      </c>
    </row>
    <row r="15" ht="40" customHeight="1">
      <c r="B15" s="10" t="inlineStr">
        <is>
          <t>Por encima del 10 %</t>
        </is>
      </c>
      <c r="C15" s="8" t="inlineStr">
        <is>
          <t>Das tres rondas para que se ajusten. Si no se mueven, cambias. Empieza por un producto, no por todo el pedido.</t>
        </is>
      </c>
    </row>
    <row r="17" ht="32" customHeight="1">
      <c r="B17" s="11" t="inlineStr">
        <is>
          <t>Rellena solo el fondo crema: producto, contenido del envase, los tres precios y tu consumo anual. Las cuatro ultimas columnas salen solas. En 'Tu precio ud.' pon el de quien te sirve hoy, para ver el ahorro real.</t>
        </is>
      </c>
    </row>
  </sheetData>
  <mergeCells count="3">
    <mergeCell ref="A1:C1"/>
    <mergeCell ref="A2:C2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3" customWidth="1" min="8" max="8"/>
    <col width="13" customWidth="1" min="9" max="9"/>
    <col width="14" customWidth="1" min="10" max="10"/>
    <col width="10" customWidth="1" min="11" max="11"/>
  </cols>
  <sheetData>
    <row r="1" ht="26" customHeight="1">
      <c r="A1" s="1" t="inlineStr">
        <is>
          <t>Comparativa</t>
        </is>
      </c>
    </row>
    <row r="2">
      <c r="A2" s="2" t="inlineStr">
        <is>
          <t>Compara por unidad, no por envase. Ordena por ahorro anual, no por porcentaje.</t>
        </is>
      </c>
    </row>
    <row r="3" ht="6" customHeight="1"/>
    <row r="5" ht="30" customHeight="1">
      <c r="A5" s="12" t="inlineStr">
        <is>
          <t>Producto</t>
        </is>
      </c>
      <c r="B5" s="12" t="inlineStr">
        <is>
          <t>Unidad</t>
        </is>
      </c>
      <c r="C5" s="12" t="inlineStr">
        <is>
          <t>Contenido
del envase</t>
        </is>
      </c>
      <c r="D5" s="12" t="inlineStr">
        <is>
          <t>Proveedor A</t>
        </is>
      </c>
      <c r="E5" s="12" t="inlineStr">
        <is>
          <t>Proveedor B</t>
        </is>
      </c>
      <c r="F5" s="12" t="inlineStr">
        <is>
          <t>Proveedor C</t>
        </is>
      </c>
      <c r="G5" s="12" t="inlineStr">
        <is>
          <t>Consumo
anual</t>
        </is>
      </c>
      <c r="H5" s="12" t="inlineStr">
        <is>
          <t>Mejor
precio ud.</t>
        </is>
      </c>
      <c r="I5" s="12" t="inlineStr">
        <is>
          <t>Tu precio ud.</t>
        </is>
      </c>
      <c r="J5" s="12" t="inlineStr">
        <is>
          <t>Ahorro anual</t>
        </is>
      </c>
      <c r="K5" s="12" t="inlineStr">
        <is>
          <t>Mejora</t>
        </is>
      </c>
    </row>
    <row r="6">
      <c r="A6" s="13" t="n"/>
      <c r="B6" s="13" t="n"/>
      <c r="C6" s="14" t="n"/>
      <c r="D6" s="15" t="n"/>
      <c r="E6" s="15" t="n"/>
      <c r="F6" s="15" t="n"/>
      <c r="G6" s="16" t="n"/>
      <c r="H6" s="17">
        <f>IF(N(C6)=0,"",MIN(IF(N(D6)&gt;0,D6/C6,9E99),IF(N(E6)&gt;0,E6/C6,9E99),IF(N(F6)&gt;0,F6/C6,9E99)))</f>
        <v/>
      </c>
      <c r="I6" s="18" t="n"/>
      <c r="J6" s="19">
        <f>IF(OR(N(I6)=0,N(H6)=0),"",(I6-H6)*G6)</f>
        <v/>
      </c>
      <c r="K6" s="20">
        <f>IF(N(I6)=0,"",(I6-H6)/I6)</f>
        <v/>
      </c>
    </row>
    <row r="7">
      <c r="A7" s="13" t="n"/>
      <c r="B7" s="13" t="n"/>
      <c r="C7" s="14" t="n"/>
      <c r="D7" s="15" t="n"/>
      <c r="E7" s="15" t="n"/>
      <c r="F7" s="15" t="n"/>
      <c r="G7" s="16" t="n"/>
      <c r="H7" s="17">
        <f>IF(N(C7)=0,"",MIN(IF(N(D7)&gt;0,D7/C7,9E99),IF(N(E7)&gt;0,E7/C7,9E99),IF(N(F7)&gt;0,F7/C7,9E99)))</f>
        <v/>
      </c>
      <c r="I7" s="18" t="n"/>
      <c r="J7" s="19">
        <f>IF(OR(N(I7)=0,N(H7)=0),"",(I7-H7)*G7)</f>
        <v/>
      </c>
      <c r="K7" s="20">
        <f>IF(N(I7)=0,"",(I7-H7)/I7)</f>
        <v/>
      </c>
    </row>
    <row r="8">
      <c r="A8" s="13" t="n"/>
      <c r="B8" s="13" t="n"/>
      <c r="C8" s="14" t="n"/>
      <c r="D8" s="15" t="n"/>
      <c r="E8" s="15" t="n"/>
      <c r="F8" s="15" t="n"/>
      <c r="G8" s="16" t="n"/>
      <c r="H8" s="17">
        <f>IF(N(C8)=0,"",MIN(IF(N(D8)&gt;0,D8/C8,9E99),IF(N(E8)&gt;0,E8/C8,9E99),IF(N(F8)&gt;0,F8/C8,9E99)))</f>
        <v/>
      </c>
      <c r="I8" s="18" t="n"/>
      <c r="J8" s="19">
        <f>IF(OR(N(I8)=0,N(H8)=0),"",(I8-H8)*G8)</f>
        <v/>
      </c>
      <c r="K8" s="20">
        <f>IF(N(I8)=0,"",(I8-H8)/I8)</f>
        <v/>
      </c>
    </row>
    <row r="9">
      <c r="A9" s="13" t="n"/>
      <c r="B9" s="13" t="n"/>
      <c r="C9" s="14" t="n"/>
      <c r="D9" s="15" t="n"/>
      <c r="E9" s="15" t="n"/>
      <c r="F9" s="15" t="n"/>
      <c r="G9" s="16" t="n"/>
      <c r="H9" s="17">
        <f>IF(N(C9)=0,"",MIN(IF(N(D9)&gt;0,D9/C9,9E99),IF(N(E9)&gt;0,E9/C9,9E99),IF(N(F9)&gt;0,F9/C9,9E99)))</f>
        <v/>
      </c>
      <c r="I9" s="18" t="n"/>
      <c r="J9" s="19">
        <f>IF(OR(N(I9)=0,N(H9)=0),"",(I9-H9)*G9)</f>
        <v/>
      </c>
      <c r="K9" s="20">
        <f>IF(N(I9)=0,"",(I9-H9)/I9)</f>
        <v/>
      </c>
    </row>
    <row r="10">
      <c r="A10" s="13" t="n"/>
      <c r="B10" s="13" t="n"/>
      <c r="C10" s="14" t="n"/>
      <c r="D10" s="15" t="n"/>
      <c r="E10" s="15" t="n"/>
      <c r="F10" s="15" t="n"/>
      <c r="G10" s="16" t="n"/>
      <c r="H10" s="17">
        <f>IF(N(C10)=0,"",MIN(IF(N(D10)&gt;0,D10/C10,9E99),IF(N(E10)&gt;0,E10/C10,9E99),IF(N(F10)&gt;0,F10/C10,9E99)))</f>
        <v/>
      </c>
      <c r="I10" s="18" t="n"/>
      <c r="J10" s="19">
        <f>IF(OR(N(I10)=0,N(H10)=0),"",(I10-H10)*G10)</f>
        <v/>
      </c>
      <c r="K10" s="20">
        <f>IF(N(I10)=0,"",(I10-H10)/I10)</f>
        <v/>
      </c>
    </row>
    <row r="11">
      <c r="A11" s="13" t="n"/>
      <c r="B11" s="13" t="n"/>
      <c r="C11" s="14" t="n"/>
      <c r="D11" s="15" t="n"/>
      <c r="E11" s="15" t="n"/>
      <c r="F11" s="15" t="n"/>
      <c r="G11" s="16" t="n"/>
      <c r="H11" s="17">
        <f>IF(N(C11)=0,"",MIN(IF(N(D11)&gt;0,D11/C11,9E99),IF(N(E11)&gt;0,E11/C11,9E99),IF(N(F11)&gt;0,F11/C11,9E99)))</f>
        <v/>
      </c>
      <c r="I11" s="18" t="n"/>
      <c r="J11" s="19">
        <f>IF(OR(N(I11)=0,N(H11)=0),"",(I11-H11)*G11)</f>
        <v/>
      </c>
      <c r="K11" s="20">
        <f>IF(N(I11)=0,"",(I11-H11)/I11)</f>
        <v/>
      </c>
    </row>
    <row r="12">
      <c r="A12" s="13" t="n"/>
      <c r="B12" s="13" t="n"/>
      <c r="C12" s="14" t="n"/>
      <c r="D12" s="15" t="n"/>
      <c r="E12" s="15" t="n"/>
      <c r="F12" s="15" t="n"/>
      <c r="G12" s="16" t="n"/>
      <c r="H12" s="17">
        <f>IF(N(C12)=0,"",MIN(IF(N(D12)&gt;0,D12/C12,9E99),IF(N(E12)&gt;0,E12/C12,9E99),IF(N(F12)&gt;0,F12/C12,9E99)))</f>
        <v/>
      </c>
      <c r="I12" s="18" t="n"/>
      <c r="J12" s="19">
        <f>IF(OR(N(I12)=0,N(H12)=0),"",(I12-H12)*G12)</f>
        <v/>
      </c>
      <c r="K12" s="20">
        <f>IF(N(I12)=0,"",(I12-H12)/I12)</f>
        <v/>
      </c>
    </row>
    <row r="13">
      <c r="A13" s="13" t="n"/>
      <c r="B13" s="13" t="n"/>
      <c r="C13" s="14" t="n"/>
      <c r="D13" s="15" t="n"/>
      <c r="E13" s="15" t="n"/>
      <c r="F13" s="15" t="n"/>
      <c r="G13" s="16" t="n"/>
      <c r="H13" s="17">
        <f>IF(N(C13)=0,"",MIN(IF(N(D13)&gt;0,D13/C13,9E99),IF(N(E13)&gt;0,E13/C13,9E99),IF(N(F13)&gt;0,F13/C13,9E99)))</f>
        <v/>
      </c>
      <c r="I13" s="18" t="n"/>
      <c r="J13" s="19">
        <f>IF(OR(N(I13)=0,N(H13)=0),"",(I13-H13)*G13)</f>
        <v/>
      </c>
      <c r="K13" s="20">
        <f>IF(N(I13)=0,"",(I13-H13)/I13)</f>
        <v/>
      </c>
    </row>
    <row r="14">
      <c r="A14" s="13" t="n"/>
      <c r="B14" s="13" t="n"/>
      <c r="C14" s="14" t="n"/>
      <c r="D14" s="15" t="n"/>
      <c r="E14" s="15" t="n"/>
      <c r="F14" s="15" t="n"/>
      <c r="G14" s="16" t="n"/>
      <c r="H14" s="17">
        <f>IF(N(C14)=0,"",MIN(IF(N(D14)&gt;0,D14/C14,9E99),IF(N(E14)&gt;0,E14/C14,9E99),IF(N(F14)&gt;0,F14/C14,9E99)))</f>
        <v/>
      </c>
      <c r="I14" s="18" t="n"/>
      <c r="J14" s="19">
        <f>IF(OR(N(I14)=0,N(H14)=0),"",(I14-H14)*G14)</f>
        <v/>
      </c>
      <c r="K14" s="20">
        <f>IF(N(I14)=0,"",(I14-H14)/I14)</f>
        <v/>
      </c>
    </row>
    <row r="15">
      <c r="A15" s="13" t="n"/>
      <c r="B15" s="13" t="n"/>
      <c r="C15" s="14" t="n"/>
      <c r="D15" s="15" t="n"/>
      <c r="E15" s="15" t="n"/>
      <c r="F15" s="15" t="n"/>
      <c r="G15" s="16" t="n"/>
      <c r="H15" s="17">
        <f>IF(N(C15)=0,"",MIN(IF(N(D15)&gt;0,D15/C15,9E99),IF(N(E15)&gt;0,E15/C15,9E99),IF(N(F15)&gt;0,F15/C15,9E99)))</f>
        <v/>
      </c>
      <c r="I15" s="18" t="n"/>
      <c r="J15" s="19">
        <f>IF(OR(N(I15)=0,N(H15)=0),"",(I15-H15)*G15)</f>
        <v/>
      </c>
      <c r="K15" s="20">
        <f>IF(N(I15)=0,"",(I15-H15)/I15)</f>
        <v/>
      </c>
    </row>
    <row r="16">
      <c r="A16" s="13" t="n"/>
      <c r="B16" s="13" t="n"/>
      <c r="C16" s="14" t="n"/>
      <c r="D16" s="15" t="n"/>
      <c r="E16" s="15" t="n"/>
      <c r="F16" s="15" t="n"/>
      <c r="G16" s="16" t="n"/>
      <c r="H16" s="17">
        <f>IF(N(C16)=0,"",MIN(IF(N(D16)&gt;0,D16/C16,9E99),IF(N(E16)&gt;0,E16/C16,9E99),IF(N(F16)&gt;0,F16/C16,9E99)))</f>
        <v/>
      </c>
      <c r="I16" s="18" t="n"/>
      <c r="J16" s="19">
        <f>IF(OR(N(I16)=0,N(H16)=0),"",(I16-H16)*G16)</f>
        <v/>
      </c>
      <c r="K16" s="20">
        <f>IF(N(I16)=0,"",(I16-H16)/I16)</f>
        <v/>
      </c>
    </row>
    <row r="17">
      <c r="A17" s="13" t="n"/>
      <c r="B17" s="13" t="n"/>
      <c r="C17" s="14" t="n"/>
      <c r="D17" s="15" t="n"/>
      <c r="E17" s="15" t="n"/>
      <c r="F17" s="15" t="n"/>
      <c r="G17" s="16" t="n"/>
      <c r="H17" s="17">
        <f>IF(N(C17)=0,"",MIN(IF(N(D17)&gt;0,D17/C17,9E99),IF(N(E17)&gt;0,E17/C17,9E99),IF(N(F17)&gt;0,F17/C17,9E99)))</f>
        <v/>
      </c>
      <c r="I17" s="18" t="n"/>
      <c r="J17" s="19">
        <f>IF(OR(N(I17)=0,N(H17)=0),"",(I17-H17)*G17)</f>
        <v/>
      </c>
      <c r="K17" s="20">
        <f>IF(N(I17)=0,"",(I17-H17)/I17)</f>
        <v/>
      </c>
    </row>
    <row r="18">
      <c r="A18" s="13" t="n"/>
      <c r="B18" s="13" t="n"/>
      <c r="C18" s="14" t="n"/>
      <c r="D18" s="15" t="n"/>
      <c r="E18" s="15" t="n"/>
      <c r="F18" s="15" t="n"/>
      <c r="G18" s="16" t="n"/>
      <c r="H18" s="17">
        <f>IF(N(C18)=0,"",MIN(IF(N(D18)&gt;0,D18/C18,9E99),IF(N(E18)&gt;0,E18/C18,9E99),IF(N(F18)&gt;0,F18/C18,9E99)))</f>
        <v/>
      </c>
      <c r="I18" s="18" t="n"/>
      <c r="J18" s="19">
        <f>IF(OR(N(I18)=0,N(H18)=0),"",(I18-H18)*G18)</f>
        <v/>
      </c>
      <c r="K18" s="20">
        <f>IF(N(I18)=0,"",(I18-H18)/I18)</f>
        <v/>
      </c>
    </row>
    <row r="19">
      <c r="A19" s="13" t="n"/>
      <c r="B19" s="13" t="n"/>
      <c r="C19" s="14" t="n"/>
      <c r="D19" s="15" t="n"/>
      <c r="E19" s="15" t="n"/>
      <c r="F19" s="15" t="n"/>
      <c r="G19" s="16" t="n"/>
      <c r="H19" s="17">
        <f>IF(N(C19)=0,"",MIN(IF(N(D19)&gt;0,D19/C19,9E99),IF(N(E19)&gt;0,E19/C19,9E99),IF(N(F19)&gt;0,F19/C19,9E99)))</f>
        <v/>
      </c>
      <c r="I19" s="18" t="n"/>
      <c r="J19" s="19">
        <f>IF(OR(N(I19)=0,N(H19)=0),"",(I19-H19)*G19)</f>
        <v/>
      </c>
      <c r="K19" s="20">
        <f>IF(N(I19)=0,"",(I19-H19)/I19)</f>
        <v/>
      </c>
    </row>
    <row r="20">
      <c r="A20" s="13" t="n"/>
      <c r="B20" s="13" t="n"/>
      <c r="C20" s="14" t="n"/>
      <c r="D20" s="15" t="n"/>
      <c r="E20" s="15" t="n"/>
      <c r="F20" s="15" t="n"/>
      <c r="G20" s="16" t="n"/>
      <c r="H20" s="17">
        <f>IF(N(C20)=0,"",MIN(IF(N(D20)&gt;0,D20/C20,9E99),IF(N(E20)&gt;0,E20/C20,9E99),IF(N(F20)&gt;0,F20/C20,9E99)))</f>
        <v/>
      </c>
      <c r="I20" s="18" t="n"/>
      <c r="J20" s="19">
        <f>IF(OR(N(I20)=0,N(H20)=0),"",(I20-H20)*G20)</f>
        <v/>
      </c>
      <c r="K20" s="20">
        <f>IF(N(I20)=0,"",(I20-H20)/I20)</f>
        <v/>
      </c>
    </row>
    <row r="21">
      <c r="A21" s="13" t="n"/>
      <c r="B21" s="13" t="n"/>
      <c r="C21" s="14" t="n"/>
      <c r="D21" s="15" t="n"/>
      <c r="E21" s="15" t="n"/>
      <c r="F21" s="15" t="n"/>
      <c r="G21" s="16" t="n"/>
      <c r="H21" s="17">
        <f>IF(N(C21)=0,"",MIN(IF(N(D21)&gt;0,D21/C21,9E99),IF(N(E21)&gt;0,E21/C21,9E99),IF(N(F21)&gt;0,F21/C21,9E99)))</f>
        <v/>
      </c>
      <c r="I21" s="18" t="n"/>
      <c r="J21" s="19">
        <f>IF(OR(N(I21)=0,N(H21)=0),"",(I21-H21)*G21)</f>
        <v/>
      </c>
      <c r="K21" s="20">
        <f>IF(N(I21)=0,"",(I21-H21)/I21)</f>
        <v/>
      </c>
    </row>
    <row r="22">
      <c r="A22" s="13" t="n"/>
      <c r="B22" s="13" t="n"/>
      <c r="C22" s="14" t="n"/>
      <c r="D22" s="15" t="n"/>
      <c r="E22" s="15" t="n"/>
      <c r="F22" s="15" t="n"/>
      <c r="G22" s="16" t="n"/>
      <c r="H22" s="17">
        <f>IF(N(C22)=0,"",MIN(IF(N(D22)&gt;0,D22/C22,9E99),IF(N(E22)&gt;0,E22/C22,9E99),IF(N(F22)&gt;0,F22/C22,9E99)))</f>
        <v/>
      </c>
      <c r="I22" s="18" t="n"/>
      <c r="J22" s="19">
        <f>IF(OR(N(I22)=0,N(H22)=0),"",(I22-H22)*G22)</f>
        <v/>
      </c>
      <c r="K22" s="20">
        <f>IF(N(I22)=0,"",(I22-H22)/I22)</f>
        <v/>
      </c>
    </row>
    <row r="23">
      <c r="A23" s="13" t="n"/>
      <c r="B23" s="13" t="n"/>
      <c r="C23" s="14" t="n"/>
      <c r="D23" s="15" t="n"/>
      <c r="E23" s="15" t="n"/>
      <c r="F23" s="15" t="n"/>
      <c r="G23" s="16" t="n"/>
      <c r="H23" s="17">
        <f>IF(N(C23)=0,"",MIN(IF(N(D23)&gt;0,D23/C23,9E99),IF(N(E23)&gt;0,E23/C23,9E99),IF(N(F23)&gt;0,F23/C23,9E99)))</f>
        <v/>
      </c>
      <c r="I23" s="18" t="n"/>
      <c r="J23" s="19">
        <f>IF(OR(N(I23)=0,N(H23)=0),"",(I23-H23)*G23)</f>
        <v/>
      </c>
      <c r="K23" s="20">
        <f>IF(N(I23)=0,"",(I23-H23)/I23)</f>
        <v/>
      </c>
    </row>
    <row r="24">
      <c r="A24" s="13" t="n"/>
      <c r="B24" s="13" t="n"/>
      <c r="C24" s="14" t="n"/>
      <c r="D24" s="15" t="n"/>
      <c r="E24" s="15" t="n"/>
      <c r="F24" s="15" t="n"/>
      <c r="G24" s="16" t="n"/>
      <c r="H24" s="17">
        <f>IF(N(C24)=0,"",MIN(IF(N(D24)&gt;0,D24/C24,9E99),IF(N(E24)&gt;0,E24/C24,9E99),IF(N(F24)&gt;0,F24/C24,9E99)))</f>
        <v/>
      </c>
      <c r="I24" s="18" t="n"/>
      <c r="J24" s="19">
        <f>IF(OR(N(I24)=0,N(H24)=0),"",(I24-H24)*G24)</f>
        <v/>
      </c>
      <c r="K24" s="20">
        <f>IF(N(I24)=0,"",(I24-H24)/I24)</f>
        <v/>
      </c>
    </row>
    <row r="25">
      <c r="A25" s="13" t="n"/>
      <c r="B25" s="13" t="n"/>
      <c r="C25" s="14" t="n"/>
      <c r="D25" s="15" t="n"/>
      <c r="E25" s="15" t="n"/>
      <c r="F25" s="15" t="n"/>
      <c r="G25" s="16" t="n"/>
      <c r="H25" s="17">
        <f>IF(N(C25)=0,"",MIN(IF(N(D25)&gt;0,D25/C25,9E99),IF(N(E25)&gt;0,E25/C25,9E99),IF(N(F25)&gt;0,F25/C25,9E99)))</f>
        <v/>
      </c>
      <c r="I25" s="18" t="n"/>
      <c r="J25" s="19">
        <f>IF(OR(N(I25)=0,N(H25)=0),"",(I25-H25)*G25)</f>
        <v/>
      </c>
      <c r="K25" s="20">
        <f>IF(N(I25)=0,"",(I25-H25)/I25)</f>
        <v/>
      </c>
    </row>
    <row r="26">
      <c r="A26" s="13" t="n"/>
      <c r="B26" s="13" t="n"/>
      <c r="C26" s="14" t="n"/>
      <c r="D26" s="15" t="n"/>
      <c r="E26" s="15" t="n"/>
      <c r="F26" s="15" t="n"/>
      <c r="G26" s="16" t="n"/>
      <c r="H26" s="17">
        <f>IF(N(C26)=0,"",MIN(IF(N(D26)&gt;0,D26/C26,9E99),IF(N(E26)&gt;0,E26/C26,9E99),IF(N(F26)&gt;0,F26/C26,9E99)))</f>
        <v/>
      </c>
      <c r="I26" s="18" t="n"/>
      <c r="J26" s="19">
        <f>IF(OR(N(I26)=0,N(H26)=0),"",(I26-H26)*G26)</f>
        <v/>
      </c>
      <c r="K26" s="20">
        <f>IF(N(I26)=0,"",(I26-H26)/I26)</f>
        <v/>
      </c>
    </row>
    <row r="27">
      <c r="A27" s="13" t="n"/>
      <c r="B27" s="13" t="n"/>
      <c r="C27" s="14" t="n"/>
      <c r="D27" s="15" t="n"/>
      <c r="E27" s="15" t="n"/>
      <c r="F27" s="15" t="n"/>
      <c r="G27" s="16" t="n"/>
      <c r="H27" s="17">
        <f>IF(N(C27)=0,"",MIN(IF(N(D27)&gt;0,D27/C27,9E99),IF(N(E27)&gt;0,E27/C27,9E99),IF(N(F27)&gt;0,F27/C27,9E99)))</f>
        <v/>
      </c>
      <c r="I27" s="18" t="n"/>
      <c r="J27" s="19">
        <f>IF(OR(N(I27)=0,N(H27)=0),"",(I27-H27)*G27)</f>
        <v/>
      </c>
      <c r="K27" s="20">
        <f>IF(N(I27)=0,"",(I27-H27)/I27)</f>
        <v/>
      </c>
    </row>
    <row r="28">
      <c r="A28" s="13" t="n"/>
      <c r="B28" s="13" t="n"/>
      <c r="C28" s="14" t="n"/>
      <c r="D28" s="15" t="n"/>
      <c r="E28" s="15" t="n"/>
      <c r="F28" s="15" t="n"/>
      <c r="G28" s="16" t="n"/>
      <c r="H28" s="17">
        <f>IF(N(C28)=0,"",MIN(IF(N(D28)&gt;0,D28/C28,9E99),IF(N(E28)&gt;0,E28/C28,9E99),IF(N(F28)&gt;0,F28/C28,9E99)))</f>
        <v/>
      </c>
      <c r="I28" s="18" t="n"/>
      <c r="J28" s="19">
        <f>IF(OR(N(I28)=0,N(H28)=0),"",(I28-H28)*G28)</f>
        <v/>
      </c>
      <c r="K28" s="20">
        <f>IF(N(I28)=0,"",(I28-H28)/I28)</f>
        <v/>
      </c>
    </row>
    <row r="29">
      <c r="A29" s="13" t="n"/>
      <c r="B29" s="13" t="n"/>
      <c r="C29" s="14" t="n"/>
      <c r="D29" s="15" t="n"/>
      <c r="E29" s="15" t="n"/>
      <c r="F29" s="15" t="n"/>
      <c r="G29" s="16" t="n"/>
      <c r="H29" s="17">
        <f>IF(N(C29)=0,"",MIN(IF(N(D29)&gt;0,D29/C29,9E99),IF(N(E29)&gt;0,E29/C29,9E99),IF(N(F29)&gt;0,F29/C29,9E99)))</f>
        <v/>
      </c>
      <c r="I29" s="18" t="n"/>
      <c r="J29" s="19">
        <f>IF(OR(N(I29)=0,N(H29)=0),"",(I29-H29)*G29)</f>
        <v/>
      </c>
      <c r="K29" s="20">
        <f>IF(N(I29)=0,"",(I29-H29)/I29)</f>
        <v/>
      </c>
    </row>
    <row r="30">
      <c r="A30" s="13" t="n"/>
      <c r="B30" s="13" t="n"/>
      <c r="C30" s="14" t="n"/>
      <c r="D30" s="15" t="n"/>
      <c r="E30" s="15" t="n"/>
      <c r="F30" s="15" t="n"/>
      <c r="G30" s="16" t="n"/>
      <c r="H30" s="17">
        <f>IF(N(C30)=0,"",MIN(IF(N(D30)&gt;0,D30/C30,9E99),IF(N(E30)&gt;0,E30/C30,9E99),IF(N(F30)&gt;0,F30/C30,9E99)))</f>
        <v/>
      </c>
      <c r="I30" s="18" t="n"/>
      <c r="J30" s="19">
        <f>IF(OR(N(I30)=0,N(H30)=0),"",(I30-H30)*G30)</f>
        <v/>
      </c>
      <c r="K30" s="20">
        <f>IF(N(I30)=0,"",(I30-H30)/I30)</f>
        <v/>
      </c>
    </row>
    <row r="31">
      <c r="A31" s="13" t="n"/>
      <c r="B31" s="13" t="n"/>
      <c r="C31" s="14" t="n"/>
      <c r="D31" s="15" t="n"/>
      <c r="E31" s="15" t="n"/>
      <c r="F31" s="15" t="n"/>
      <c r="G31" s="16" t="n"/>
      <c r="H31" s="17">
        <f>IF(N(C31)=0,"",MIN(IF(N(D31)&gt;0,D31/C31,9E99),IF(N(E31)&gt;0,E31/C31,9E99),IF(N(F31)&gt;0,F31/C31,9E99)))</f>
        <v/>
      </c>
      <c r="I31" s="18" t="n"/>
      <c r="J31" s="19">
        <f>IF(OR(N(I31)=0,N(H31)=0),"",(I31-H31)*G31)</f>
        <v/>
      </c>
      <c r="K31" s="20">
        <f>IF(N(I31)=0,"",(I31-H31)/I31)</f>
        <v/>
      </c>
    </row>
    <row r="32">
      <c r="A32" s="13" t="n"/>
      <c r="B32" s="13" t="n"/>
      <c r="C32" s="14" t="n"/>
      <c r="D32" s="15" t="n"/>
      <c r="E32" s="15" t="n"/>
      <c r="F32" s="15" t="n"/>
      <c r="G32" s="16" t="n"/>
      <c r="H32" s="17">
        <f>IF(N(C32)=0,"",MIN(IF(N(D32)&gt;0,D32/C32,9E99),IF(N(E32)&gt;0,E32/C32,9E99),IF(N(F32)&gt;0,F32/C32,9E99)))</f>
        <v/>
      </c>
      <c r="I32" s="18" t="n"/>
      <c r="J32" s="19">
        <f>IF(OR(N(I32)=0,N(H32)=0),"",(I32-H32)*G32)</f>
        <v/>
      </c>
      <c r="K32" s="20">
        <f>IF(N(I32)=0,"",(I32-H32)/I32)</f>
        <v/>
      </c>
    </row>
    <row r="33">
      <c r="A33" s="13" t="n"/>
      <c r="B33" s="13" t="n"/>
      <c r="C33" s="14" t="n"/>
      <c r="D33" s="15" t="n"/>
      <c r="E33" s="15" t="n"/>
      <c r="F33" s="15" t="n"/>
      <c r="G33" s="16" t="n"/>
      <c r="H33" s="17">
        <f>IF(N(C33)=0,"",MIN(IF(N(D33)&gt;0,D33/C33,9E99),IF(N(E33)&gt;0,E33/C33,9E99),IF(N(F33)&gt;0,F33/C33,9E99)))</f>
        <v/>
      </c>
      <c r="I33" s="18" t="n"/>
      <c r="J33" s="19">
        <f>IF(OR(N(I33)=0,N(H33)=0),"",(I33-H33)*G33)</f>
        <v/>
      </c>
      <c r="K33" s="20">
        <f>IF(N(I33)=0,"",(I33-H33)/I33)</f>
        <v/>
      </c>
    </row>
    <row r="34">
      <c r="A34" s="13" t="n"/>
      <c r="B34" s="13" t="n"/>
      <c r="C34" s="14" t="n"/>
      <c r="D34" s="15" t="n"/>
      <c r="E34" s="15" t="n"/>
      <c r="F34" s="15" t="n"/>
      <c r="G34" s="16" t="n"/>
      <c r="H34" s="17">
        <f>IF(N(C34)=0,"",MIN(IF(N(D34)&gt;0,D34/C34,9E99),IF(N(E34)&gt;0,E34/C34,9E99),IF(N(F34)&gt;0,F34/C34,9E99)))</f>
        <v/>
      </c>
      <c r="I34" s="18" t="n"/>
      <c r="J34" s="19">
        <f>IF(OR(N(I34)=0,N(H34)=0),"",(I34-H34)*G34)</f>
        <v/>
      </c>
      <c r="K34" s="20">
        <f>IF(N(I34)=0,"",(I34-H34)/I34)</f>
        <v/>
      </c>
    </row>
    <row r="35">
      <c r="A35" s="13" t="n"/>
      <c r="B35" s="13" t="n"/>
      <c r="C35" s="14" t="n"/>
      <c r="D35" s="15" t="n"/>
      <c r="E35" s="15" t="n"/>
      <c r="F35" s="15" t="n"/>
      <c r="G35" s="16" t="n"/>
      <c r="H35" s="17">
        <f>IF(N(C35)=0,"",MIN(IF(N(D35)&gt;0,D35/C35,9E99),IF(N(E35)&gt;0,E35/C35,9E99),IF(N(F35)&gt;0,F35/C35,9E99)))</f>
        <v/>
      </c>
      <c r="I35" s="18" t="n"/>
      <c r="J35" s="19">
        <f>IF(OR(N(I35)=0,N(H35)=0),"",(I35-H35)*G35)</f>
        <v/>
      </c>
      <c r="K35" s="20">
        <f>IF(N(I35)=0,"",(I35-H35)/I35)</f>
        <v/>
      </c>
    </row>
    <row r="36">
      <c r="A36" s="13" t="n"/>
      <c r="B36" s="13" t="n"/>
      <c r="C36" s="14" t="n"/>
      <c r="D36" s="15" t="n"/>
      <c r="E36" s="15" t="n"/>
      <c r="F36" s="15" t="n"/>
      <c r="G36" s="16" t="n"/>
      <c r="H36" s="17">
        <f>IF(N(C36)=0,"",MIN(IF(N(D36)&gt;0,D36/C36,9E99),IF(N(E36)&gt;0,E36/C36,9E99),IF(N(F36)&gt;0,F36/C36,9E99)))</f>
        <v/>
      </c>
      <c r="I36" s="18" t="n"/>
      <c r="J36" s="19">
        <f>IF(OR(N(I36)=0,N(H36)=0),"",(I36-H36)*G36)</f>
        <v/>
      </c>
      <c r="K36" s="20">
        <f>IF(N(I36)=0,"",(I36-H36)/I36)</f>
        <v/>
      </c>
    </row>
    <row r="37">
      <c r="A37" s="13" t="n"/>
      <c r="B37" s="13" t="n"/>
      <c r="C37" s="14" t="n"/>
      <c r="D37" s="15" t="n"/>
      <c r="E37" s="15" t="n"/>
      <c r="F37" s="15" t="n"/>
      <c r="G37" s="16" t="n"/>
      <c r="H37" s="17">
        <f>IF(N(C37)=0,"",MIN(IF(N(D37)&gt;0,D37/C37,9E99),IF(N(E37)&gt;0,E37/C37,9E99),IF(N(F37)&gt;0,F37/C37,9E99)))</f>
        <v/>
      </c>
      <c r="I37" s="18" t="n"/>
      <c r="J37" s="19">
        <f>IF(OR(N(I37)=0,N(H37)=0),"",(I37-H37)*G37)</f>
        <v/>
      </c>
      <c r="K37" s="20">
        <f>IF(N(I37)=0,"",(I37-H37)/I37)</f>
        <v/>
      </c>
    </row>
    <row r="38">
      <c r="A38" s="13" t="n"/>
      <c r="B38" s="13" t="n"/>
      <c r="C38" s="14" t="n"/>
      <c r="D38" s="15" t="n"/>
      <c r="E38" s="15" t="n"/>
      <c r="F38" s="15" t="n"/>
      <c r="G38" s="16" t="n"/>
      <c r="H38" s="17">
        <f>IF(N(C38)=0,"",MIN(IF(N(D38)&gt;0,D38/C38,9E99),IF(N(E38)&gt;0,E38/C38,9E99),IF(N(F38)&gt;0,F38/C38,9E99)))</f>
        <v/>
      </c>
      <c r="I38" s="18" t="n"/>
      <c r="J38" s="19">
        <f>IF(OR(N(I38)=0,N(H38)=0),"",(I38-H38)*G38)</f>
        <v/>
      </c>
      <c r="K38" s="20">
        <f>IF(N(I38)=0,"",(I38-H38)/I38)</f>
        <v/>
      </c>
    </row>
    <row r="39">
      <c r="A39" s="13" t="n"/>
      <c r="B39" s="13" t="n"/>
      <c r="C39" s="14" t="n"/>
      <c r="D39" s="15" t="n"/>
      <c r="E39" s="15" t="n"/>
      <c r="F39" s="15" t="n"/>
      <c r="G39" s="16" t="n"/>
      <c r="H39" s="17">
        <f>IF(N(C39)=0,"",MIN(IF(N(D39)&gt;0,D39/C39,9E99),IF(N(E39)&gt;0,E39/C39,9E99),IF(N(F39)&gt;0,F39/C39,9E99)))</f>
        <v/>
      </c>
      <c r="I39" s="18" t="n"/>
      <c r="J39" s="19">
        <f>IF(OR(N(I39)=0,N(H39)=0),"",(I39-H39)*G39)</f>
        <v/>
      </c>
      <c r="K39" s="20">
        <f>IF(N(I39)=0,"",(I39-H39)/I39)</f>
        <v/>
      </c>
    </row>
    <row r="40">
      <c r="A40" s="13" t="n"/>
      <c r="B40" s="13" t="n"/>
      <c r="C40" s="14" t="n"/>
      <c r="D40" s="15" t="n"/>
      <c r="E40" s="15" t="n"/>
      <c r="F40" s="15" t="n"/>
      <c r="G40" s="16" t="n"/>
      <c r="H40" s="17">
        <f>IF(N(C40)=0,"",MIN(IF(N(D40)&gt;0,D40/C40,9E99),IF(N(E40)&gt;0,E40/C40,9E99),IF(N(F40)&gt;0,F40/C40,9E99)))</f>
        <v/>
      </c>
      <c r="I40" s="18" t="n"/>
      <c r="J40" s="19">
        <f>IF(OR(N(I40)=0,N(H40)=0),"",(I40-H40)*G40)</f>
        <v/>
      </c>
      <c r="K40" s="20">
        <f>IF(N(I40)=0,"",(I40-H40)/I40)</f>
        <v/>
      </c>
    </row>
    <row r="41">
      <c r="A41" s="13" t="n"/>
      <c r="B41" s="13" t="n"/>
      <c r="C41" s="14" t="n"/>
      <c r="D41" s="15" t="n"/>
      <c r="E41" s="15" t="n"/>
      <c r="F41" s="15" t="n"/>
      <c r="G41" s="16" t="n"/>
      <c r="H41" s="17">
        <f>IF(N(C41)=0,"",MIN(IF(N(D41)&gt;0,D41/C41,9E99),IF(N(E41)&gt;0,E41/C41,9E99),IF(N(F41)&gt;0,F41/C41,9E99)))</f>
        <v/>
      </c>
      <c r="I41" s="18" t="n"/>
      <c r="J41" s="19">
        <f>IF(OR(N(I41)=0,N(H41)=0),"",(I41-H41)*G41)</f>
        <v/>
      </c>
      <c r="K41" s="20">
        <f>IF(N(I41)=0,"",(I41-H41)/I41)</f>
        <v/>
      </c>
    </row>
    <row r="42">
      <c r="A42" s="13" t="n"/>
      <c r="B42" s="13" t="n"/>
      <c r="C42" s="14" t="n"/>
      <c r="D42" s="15" t="n"/>
      <c r="E42" s="15" t="n"/>
      <c r="F42" s="15" t="n"/>
      <c r="G42" s="16" t="n"/>
      <c r="H42" s="17">
        <f>IF(N(C42)=0,"",MIN(IF(N(D42)&gt;0,D42/C42,9E99),IF(N(E42)&gt;0,E42/C42,9E99),IF(N(F42)&gt;0,F42/C42,9E99)))</f>
        <v/>
      </c>
      <c r="I42" s="18" t="n"/>
      <c r="J42" s="19">
        <f>IF(OR(N(I42)=0,N(H42)=0),"",(I42-H42)*G42)</f>
        <v/>
      </c>
      <c r="K42" s="20">
        <f>IF(N(I42)=0,"",(I42-H42)/I42)</f>
        <v/>
      </c>
    </row>
    <row r="43">
      <c r="A43" s="13" t="n"/>
      <c r="B43" s="13" t="n"/>
      <c r="C43" s="14" t="n"/>
      <c r="D43" s="15" t="n"/>
      <c r="E43" s="15" t="n"/>
      <c r="F43" s="15" t="n"/>
      <c r="G43" s="16" t="n"/>
      <c r="H43" s="17">
        <f>IF(N(C43)=0,"",MIN(IF(N(D43)&gt;0,D43/C43,9E99),IF(N(E43)&gt;0,E43/C43,9E99),IF(N(F43)&gt;0,F43/C43,9E99)))</f>
        <v/>
      </c>
      <c r="I43" s="18" t="n"/>
      <c r="J43" s="19">
        <f>IF(OR(N(I43)=0,N(H43)=0),"",(I43-H43)*G43)</f>
        <v/>
      </c>
      <c r="K43" s="20">
        <f>IF(N(I43)=0,"",(I43-H43)/I43)</f>
        <v/>
      </c>
    </row>
    <row r="44">
      <c r="A44" s="13" t="n"/>
      <c r="B44" s="13" t="n"/>
      <c r="C44" s="14" t="n"/>
      <c r="D44" s="15" t="n"/>
      <c r="E44" s="15" t="n"/>
      <c r="F44" s="15" t="n"/>
      <c r="G44" s="16" t="n"/>
      <c r="H44" s="17">
        <f>IF(N(C44)=0,"",MIN(IF(N(D44)&gt;0,D44/C44,9E99),IF(N(E44)&gt;0,E44/C44,9E99),IF(N(F44)&gt;0,F44/C44,9E99)))</f>
        <v/>
      </c>
      <c r="I44" s="18" t="n"/>
      <c r="J44" s="19">
        <f>IF(OR(N(I44)=0,N(H44)=0),"",(I44-H44)*G44)</f>
        <v/>
      </c>
      <c r="K44" s="20">
        <f>IF(N(I44)=0,"",(I44-H44)/I44)</f>
        <v/>
      </c>
    </row>
    <row r="45">
      <c r="A45" s="13" t="n"/>
      <c r="B45" s="13" t="n"/>
      <c r="C45" s="14" t="n"/>
      <c r="D45" s="15" t="n"/>
      <c r="E45" s="15" t="n"/>
      <c r="F45" s="15" t="n"/>
      <c r="G45" s="16" t="n"/>
      <c r="H45" s="17">
        <f>IF(N(C45)=0,"",MIN(IF(N(D45)&gt;0,D45/C45,9E99),IF(N(E45)&gt;0,E45/C45,9E99),IF(N(F45)&gt;0,F45/C45,9E99)))</f>
        <v/>
      </c>
      <c r="I45" s="18" t="n"/>
      <c r="J45" s="19">
        <f>IF(OR(N(I45)=0,N(H45)=0),"",(I45-H45)*G45)</f>
        <v/>
      </c>
      <c r="K45" s="20">
        <f>IF(N(I45)=0,"",(I45-H45)/I45)</f>
        <v/>
      </c>
    </row>
    <row r="46">
      <c r="A46" s="13" t="n"/>
      <c r="B46" s="13" t="n"/>
      <c r="C46" s="14" t="n"/>
      <c r="D46" s="15" t="n"/>
      <c r="E46" s="15" t="n"/>
      <c r="F46" s="15" t="n"/>
      <c r="G46" s="16" t="n"/>
      <c r="H46" s="17">
        <f>IF(N(C46)=0,"",MIN(IF(N(D46)&gt;0,D46/C46,9E99),IF(N(E46)&gt;0,E46/C46,9E99),IF(N(F46)&gt;0,F46/C46,9E99)))</f>
        <v/>
      </c>
      <c r="I46" s="18" t="n"/>
      <c r="J46" s="19">
        <f>IF(OR(N(I46)=0,N(H46)=0),"",(I46-H46)*G46)</f>
        <v/>
      </c>
      <c r="K46" s="20">
        <f>IF(N(I46)=0,"",(I46-H46)/I46)</f>
        <v/>
      </c>
    </row>
    <row r="47">
      <c r="A47" s="13" t="n"/>
      <c r="B47" s="13" t="n"/>
      <c r="C47" s="14" t="n"/>
      <c r="D47" s="15" t="n"/>
      <c r="E47" s="15" t="n"/>
      <c r="F47" s="15" t="n"/>
      <c r="G47" s="16" t="n"/>
      <c r="H47" s="17">
        <f>IF(N(C47)=0,"",MIN(IF(N(D47)&gt;0,D47/C47,9E99),IF(N(E47)&gt;0,E47/C47,9E99),IF(N(F47)&gt;0,F47/C47,9E99)))</f>
        <v/>
      </c>
      <c r="I47" s="18" t="n"/>
      <c r="J47" s="19">
        <f>IF(OR(N(I47)=0,N(H47)=0),"",(I47-H47)*G47)</f>
        <v/>
      </c>
      <c r="K47" s="20">
        <f>IF(N(I47)=0,"",(I47-H47)/I47)</f>
        <v/>
      </c>
    </row>
    <row r="48">
      <c r="A48" s="13" t="n"/>
      <c r="B48" s="13" t="n"/>
      <c r="C48" s="14" t="n"/>
      <c r="D48" s="15" t="n"/>
      <c r="E48" s="15" t="n"/>
      <c r="F48" s="15" t="n"/>
      <c r="G48" s="16" t="n"/>
      <c r="H48" s="17">
        <f>IF(N(C48)=0,"",MIN(IF(N(D48)&gt;0,D48/C48,9E99),IF(N(E48)&gt;0,E48/C48,9E99),IF(N(F48)&gt;0,F48/C48,9E99)))</f>
        <v/>
      </c>
      <c r="I48" s="18" t="n"/>
      <c r="J48" s="19">
        <f>IF(OR(N(I48)=0,N(H48)=0),"",(I48-H48)*G48)</f>
        <v/>
      </c>
      <c r="K48" s="20">
        <f>IF(N(I48)=0,"",(I48-H48)/I48)</f>
        <v/>
      </c>
    </row>
    <row r="49">
      <c r="A49" s="13" t="n"/>
      <c r="B49" s="13" t="n"/>
      <c r="C49" s="14" t="n"/>
      <c r="D49" s="15" t="n"/>
      <c r="E49" s="15" t="n"/>
      <c r="F49" s="15" t="n"/>
      <c r="G49" s="16" t="n"/>
      <c r="H49" s="17">
        <f>IF(N(C49)=0,"",MIN(IF(N(D49)&gt;0,D49/C49,9E99),IF(N(E49)&gt;0,E49/C49,9E99),IF(N(F49)&gt;0,F49/C49,9E99)))</f>
        <v/>
      </c>
      <c r="I49" s="18" t="n"/>
      <c r="J49" s="19">
        <f>IF(OR(N(I49)=0,N(H49)=0),"",(I49-H49)*G49)</f>
        <v/>
      </c>
      <c r="K49" s="20">
        <f>IF(N(I49)=0,"",(I49-H49)/I49)</f>
        <v/>
      </c>
    </row>
    <row r="50">
      <c r="A50" s="13" t="n"/>
      <c r="B50" s="13" t="n"/>
      <c r="C50" s="14" t="n"/>
      <c r="D50" s="15" t="n"/>
      <c r="E50" s="15" t="n"/>
      <c r="F50" s="15" t="n"/>
      <c r="G50" s="16" t="n"/>
      <c r="H50" s="17">
        <f>IF(N(C50)=0,"",MIN(IF(N(D50)&gt;0,D50/C50,9E99),IF(N(E50)&gt;0,E50/C50,9E99),IF(N(F50)&gt;0,F50/C50,9E99)))</f>
        <v/>
      </c>
      <c r="I50" s="18" t="n"/>
      <c r="J50" s="19">
        <f>IF(OR(N(I50)=0,N(H50)=0),"",(I50-H50)*G50)</f>
        <v/>
      </c>
      <c r="K50" s="20">
        <f>IF(N(I50)=0,"",(I50-H50)/I50)</f>
        <v/>
      </c>
    </row>
    <row r="52" ht="22" customHeight="1">
      <c r="I52" s="21" t="inlineStr">
        <is>
          <t>AHORRO ANUAL TOTAL</t>
        </is>
      </c>
      <c r="J52" s="22">
        <f>SUM(J6:J50)</f>
        <v/>
      </c>
    </row>
    <row r="54">
      <c r="A54" s="23" t="inlineStr">
        <is>
          <t>Ordena por 'Ahorro anual' de mayor a menor y empieza por arriba. Los tres primeros productos suelen valer mas que los treinta siguientes juntos.</t>
        </is>
      </c>
    </row>
  </sheetData>
  <mergeCells count="3">
    <mergeCell ref="A2:K2"/>
    <mergeCell ref="A54:K5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 ht="26" customHeight="1">
      <c r="A1" s="1" t="inlineStr">
        <is>
          <t>Fichas de proveedor</t>
        </is>
      </c>
    </row>
    <row r="2">
      <c r="A2" s="2" t="inlineStr">
        <is>
          <t>Con quien hablas, cuando pides y si cumple. Lo ultimo es lo que casi nunca se apunta.</t>
        </is>
      </c>
    </row>
    <row r="3" ht="6" customHeight="1"/>
    <row r="5" ht="30" customHeight="1">
      <c r="A5" s="12" t="inlineStr"/>
      <c r="B5" s="12" t="inlineStr">
        <is>
          <t>Proveedor A</t>
        </is>
      </c>
      <c r="C5" s="12" t="inlineStr">
        <is>
          <t>Proveedor B</t>
        </is>
      </c>
      <c r="D5" s="12" t="inlineStr">
        <is>
          <t>Proveedor C</t>
        </is>
      </c>
    </row>
    <row r="6" ht="26" customHeight="1">
      <c r="A6" s="24" t="inlineStr">
        <is>
          <t>Razon social</t>
        </is>
      </c>
      <c r="B6" s="25" t="n"/>
      <c r="C6" s="25" t="n"/>
      <c r="D6" s="25" t="n"/>
    </row>
    <row r="7" ht="26" customHeight="1">
      <c r="A7" s="24" t="inlineStr">
        <is>
          <t>NIF / CIF</t>
        </is>
      </c>
      <c r="B7" s="25" t="n"/>
      <c r="C7" s="25" t="n"/>
      <c r="D7" s="25" t="n"/>
    </row>
    <row r="8" ht="26" customHeight="1">
      <c r="A8" s="24" t="inlineStr">
        <is>
          <t>Comercial que te atiende</t>
        </is>
      </c>
      <c r="B8" s="25" t="n"/>
      <c r="C8" s="25" t="n"/>
      <c r="D8" s="25" t="n"/>
    </row>
    <row r="9" ht="26" customHeight="1">
      <c r="A9" s="24" t="inlineStr">
        <is>
          <t>Telefono directo</t>
        </is>
      </c>
      <c r="B9" s="25" t="n"/>
      <c r="C9" s="25" t="n"/>
      <c r="D9" s="25" t="n"/>
    </row>
    <row r="10" ht="26" customHeight="1">
      <c r="A10" s="24" t="inlineStr">
        <is>
          <t>Correo de pedidos</t>
        </is>
      </c>
      <c r="B10" s="25" t="n"/>
      <c r="C10" s="25" t="n"/>
      <c r="D10" s="25" t="n"/>
    </row>
    <row r="11" ht="26" customHeight="1">
      <c r="A11" s="24" t="inlineStr">
        <is>
          <t>Dias y hora limite de pedido</t>
        </is>
      </c>
      <c r="B11" s="25" t="n"/>
      <c r="C11" s="25" t="n"/>
      <c r="D11" s="25" t="n"/>
    </row>
    <row r="12" ht="26" customHeight="1">
      <c r="A12" s="24" t="inlineStr">
        <is>
          <t>Dias de reparto</t>
        </is>
      </c>
      <c r="B12" s="25" t="n"/>
      <c r="C12" s="25" t="n"/>
      <c r="D12" s="25" t="n"/>
    </row>
    <row r="13" ht="26" customHeight="1">
      <c r="A13" s="24" t="inlineStr">
        <is>
          <t>Pedido minimo</t>
        </is>
      </c>
      <c r="B13" s="25" t="n"/>
      <c r="C13" s="25" t="n"/>
      <c r="D13" s="25" t="n"/>
    </row>
    <row r="14" ht="26" customHeight="1">
      <c r="A14" s="24" t="inlineStr">
        <is>
          <t>Forma y plazo de pago</t>
        </is>
      </c>
      <c r="B14" s="25" t="n"/>
      <c r="C14" s="25" t="n"/>
      <c r="D14" s="25" t="n"/>
    </row>
    <row r="15" ht="26" customHeight="1">
      <c r="A15" s="24" t="inlineStr">
        <is>
          <t>Incidencias del ultimo trimestre</t>
        </is>
      </c>
      <c r="B15" s="25" t="n"/>
      <c r="C15" s="25" t="n"/>
      <c r="D15" s="25" t="n"/>
    </row>
    <row r="16" ht="26" customHeight="1">
      <c r="A16" s="24" t="inlineStr">
        <is>
          <t>Cumplimiento (1 a 5)</t>
        </is>
      </c>
      <c r="B16" s="25" t="n"/>
      <c r="C16" s="25" t="n"/>
      <c r="D16" s="25" t="n"/>
    </row>
    <row r="18">
      <c r="A18" s="23" t="inlineStr">
        <is>
          <t>Cumplimiento: 5 = no ha fallado una entrega. 1 = te ha dejado tirado en fin de semana. Un punto menos de cumplimiento se come facil un 5 % de ahorro.</t>
        </is>
      </c>
    </row>
  </sheetData>
  <mergeCells count="3">
    <mergeCell ref="A1:D1"/>
    <mergeCell ref="A18:D18"/>
    <mergeCell ref="A2:D2"/>
  </mergeCells>
  <dataValidations count="1">
    <dataValidation sqref="B16:D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3" customWidth="1" min="8" max="8"/>
    <col width="13" customWidth="1" min="9" max="9"/>
    <col width="14" customWidth="1" min="10" max="10"/>
    <col width="10" customWidth="1" min="11" max="11"/>
  </cols>
  <sheetData>
    <row r="1" ht="26" customHeight="1">
      <c r="A1" s="1" t="inlineStr">
        <is>
          <t>Comparativa</t>
        </is>
      </c>
    </row>
    <row r="2">
      <c r="A2" s="2" t="inlineStr">
        <is>
          <t>Compara por unidad, no por envase. Ordena por ahorro anual, no por porcentaje.</t>
        </is>
      </c>
    </row>
    <row r="3" ht="6" customHeight="1"/>
    <row r="5" ht="30" customHeight="1">
      <c r="A5" s="12" t="inlineStr">
        <is>
          <t>Producto</t>
        </is>
      </c>
      <c r="B5" s="12" t="inlineStr">
        <is>
          <t>Unidad</t>
        </is>
      </c>
      <c r="C5" s="12" t="inlineStr">
        <is>
          <t>Contenido
del envase</t>
        </is>
      </c>
      <c r="D5" s="12" t="inlineStr">
        <is>
          <t>Proveedor A</t>
        </is>
      </c>
      <c r="E5" s="12" t="inlineStr">
        <is>
          <t>Proveedor B</t>
        </is>
      </c>
      <c r="F5" s="12" t="inlineStr">
        <is>
          <t>Proveedor C</t>
        </is>
      </c>
      <c r="G5" s="12" t="inlineStr">
        <is>
          <t>Consumo
anual</t>
        </is>
      </c>
      <c r="H5" s="12" t="inlineStr">
        <is>
          <t>Mejor
precio ud.</t>
        </is>
      </c>
      <c r="I5" s="12" t="inlineStr">
        <is>
          <t>Tu precio ud.</t>
        </is>
      </c>
      <c r="J5" s="12" t="inlineStr">
        <is>
          <t>Ahorro anual</t>
        </is>
      </c>
      <c r="K5" s="12" t="inlineStr">
        <is>
          <t>Mejora</t>
        </is>
      </c>
    </row>
    <row r="6">
      <c r="A6" s="13" t="inlineStr">
        <is>
          <t>Aceite de oliva virgen extra</t>
        </is>
      </c>
      <c r="B6" s="13" t="inlineStr">
        <is>
          <t>litro</t>
        </is>
      </c>
      <c r="C6" s="14" t="n">
        <v>5</v>
      </c>
      <c r="D6" s="15" t="n">
        <v>32.5</v>
      </c>
      <c r="E6" s="15" t="n">
        <v>31.2</v>
      </c>
      <c r="F6" s="15" t="n">
        <v>29.8</v>
      </c>
      <c r="G6" s="16" t="n">
        <v>600</v>
      </c>
      <c r="H6" s="17">
        <f>IF(N(C6)=0,"",MIN(IF(N(D6)&gt;0,D6/C6,9E99),IF(N(E6)&gt;0,E6/C6,9E99),IF(N(F6)&gt;0,F6/C6,9E99)))</f>
        <v/>
      </c>
      <c r="I6" s="18">
        <f>IF(N(C6)=0,"",D6/C6)</f>
        <v/>
      </c>
      <c r="J6" s="19">
        <f>IF(OR(N(I6)=0,N(H6)=0),"",(I6-H6)*G6)</f>
        <v/>
      </c>
      <c r="K6" s="20">
        <f>IF(N(I6)=0,"",(I6-H6)/I6)</f>
        <v/>
      </c>
    </row>
    <row r="7">
      <c r="A7" s="13" t="inlineStr">
        <is>
          <t>Solomillo de ternera</t>
        </is>
      </c>
      <c r="B7" s="13" t="inlineStr">
        <is>
          <t>kg</t>
        </is>
      </c>
      <c r="C7" s="14" t="n">
        <v>1</v>
      </c>
      <c r="D7" s="15" t="n">
        <v>18.9</v>
      </c>
      <c r="E7" s="15" t="n">
        <v>19.4</v>
      </c>
      <c r="F7" s="15" t="n">
        <v>18.2</v>
      </c>
      <c r="G7" s="16" t="n">
        <v>320</v>
      </c>
      <c r="H7" s="17">
        <f>IF(N(C7)=0,"",MIN(IF(N(D7)&gt;0,D7/C7,9E99),IF(N(E7)&gt;0,E7/C7,9E99),IF(N(F7)&gt;0,F7/C7,9E99)))</f>
        <v/>
      </c>
      <c r="I7" s="18">
        <f>IF(N(C7)=0,"",D7/C7)</f>
        <v/>
      </c>
      <c r="J7" s="19">
        <f>IF(OR(N(I7)=0,N(H7)=0),"",(I7-H7)*G7)</f>
        <v/>
      </c>
      <c r="K7" s="20">
        <f>IF(N(I7)=0,"",(I7-H7)/I7)</f>
        <v/>
      </c>
    </row>
    <row r="8">
      <c r="A8" s="13" t="inlineStr">
        <is>
          <t>Merluza del pincho</t>
        </is>
      </c>
      <c r="B8" s="13" t="inlineStr">
        <is>
          <t>kg</t>
        </is>
      </c>
      <c r="C8" s="14" t="n">
        <v>1</v>
      </c>
      <c r="D8" s="15" t="n">
        <v>14.8</v>
      </c>
      <c r="E8" s="15" t="n">
        <v>13.95</v>
      </c>
      <c r="F8" s="15" t="n">
        <v>15.1</v>
      </c>
      <c r="G8" s="16" t="n">
        <v>260</v>
      </c>
      <c r="H8" s="17">
        <f>IF(N(C8)=0,"",MIN(IF(N(D8)&gt;0,D8/C8,9E99),IF(N(E8)&gt;0,E8/C8,9E99),IF(N(F8)&gt;0,F8/C8,9E99)))</f>
        <v/>
      </c>
      <c r="I8" s="18">
        <f>IF(N(C8)=0,"",D8/C8)</f>
        <v/>
      </c>
      <c r="J8" s="19">
        <f>IF(OR(N(I8)=0,N(H8)=0),"",(I8-H8)*G8)</f>
        <v/>
      </c>
      <c r="K8" s="20">
        <f>IF(N(I8)=0,"",(I8-H8)/I8)</f>
        <v/>
      </c>
    </row>
    <row r="9">
      <c r="A9" s="13" t="inlineStr">
        <is>
          <t>Cerveza rubia (barril)</t>
        </is>
      </c>
      <c r="B9" s="13" t="inlineStr">
        <is>
          <t>litro</t>
        </is>
      </c>
      <c r="C9" s="14" t="n">
        <v>30</v>
      </c>
      <c r="D9" s="15" t="n">
        <v>62</v>
      </c>
      <c r="E9" s="15" t="n">
        <v>59.5</v>
      </c>
      <c r="F9" s="15" t="n">
        <v>63</v>
      </c>
      <c r="G9" s="16" t="n">
        <v>1800</v>
      </c>
      <c r="H9" s="17">
        <f>IF(N(C9)=0,"",MIN(IF(N(D9)&gt;0,D9/C9,9E99),IF(N(E9)&gt;0,E9/C9,9E99),IF(N(F9)&gt;0,F9/C9,9E99)))</f>
        <v/>
      </c>
      <c r="I9" s="18">
        <f>IF(N(C9)=0,"",D9/C9)</f>
        <v/>
      </c>
      <c r="J9" s="19">
        <f>IF(OR(N(I9)=0,N(H9)=0),"",(I9-H9)*G9)</f>
        <v/>
      </c>
      <c r="K9" s="20">
        <f>IF(N(I9)=0,"",(I9-H9)/I9)</f>
        <v/>
      </c>
    </row>
    <row r="10">
      <c r="A10" s="13" t="inlineStr">
        <is>
          <t>Cafe en grano</t>
        </is>
      </c>
      <c r="B10" s="13" t="inlineStr">
        <is>
          <t>kg</t>
        </is>
      </c>
      <c r="C10" s="14" t="n">
        <v>1</v>
      </c>
      <c r="D10" s="15" t="n">
        <v>14.2</v>
      </c>
      <c r="E10" s="15" t="n">
        <v>12.8</v>
      </c>
      <c r="F10" s="15" t="n">
        <v>13.5</v>
      </c>
      <c r="G10" s="16" t="n">
        <v>180</v>
      </c>
      <c r="H10" s="17">
        <f>IF(N(C10)=0,"",MIN(IF(N(D10)&gt;0,D10/C10,9E99),IF(N(E10)&gt;0,E10/C10,9E99),IF(N(F10)&gt;0,F10/C10,9E99)))</f>
        <v/>
      </c>
      <c r="I10" s="18">
        <f>IF(N(C10)=0,"",D10/C10)</f>
        <v/>
      </c>
      <c r="J10" s="19">
        <f>IF(OR(N(I10)=0,N(H10)=0),"",(I10-H10)*G10)</f>
        <v/>
      </c>
      <c r="K10" s="20">
        <f>IF(N(I10)=0,"",(I10-H10)/I10)</f>
        <v/>
      </c>
    </row>
    <row r="11">
      <c r="A11" s="13" t="inlineStr">
        <is>
          <t>Servilleta 20x20</t>
        </is>
      </c>
      <c r="B11" s="13" t="inlineStr">
        <is>
          <t>unidad</t>
        </is>
      </c>
      <c r="C11" s="14" t="n">
        <v>3000</v>
      </c>
      <c r="D11" s="15" t="n">
        <v>21</v>
      </c>
      <c r="E11" s="15" t="n">
        <v>19.4</v>
      </c>
      <c r="F11" s="15" t="n">
        <v>22.5</v>
      </c>
      <c r="G11" s="16" t="n">
        <v>90000</v>
      </c>
      <c r="H11" s="17">
        <f>IF(N(C11)=0,"",MIN(IF(N(D11)&gt;0,D11/C11,9E99),IF(N(E11)&gt;0,E11/C11,9E99),IF(N(F11)&gt;0,F11/C11,9E99)))</f>
        <v/>
      </c>
      <c r="I11" s="18">
        <f>IF(N(C11)=0,"",D11/C11)</f>
        <v/>
      </c>
      <c r="J11" s="19">
        <f>IF(OR(N(I11)=0,N(H11)=0),"",(I11-H11)*G11)</f>
        <v/>
      </c>
      <c r="K11" s="20">
        <f>IF(N(I11)=0,"",(I11-H11)/I11)</f>
        <v/>
      </c>
    </row>
    <row r="12">
      <c r="A12" s="13" t="n"/>
      <c r="B12" s="13" t="n"/>
      <c r="C12" s="14" t="n"/>
      <c r="D12" s="15" t="n"/>
      <c r="E12" s="15" t="n"/>
      <c r="F12" s="15" t="n"/>
      <c r="G12" s="16" t="n"/>
      <c r="H12" s="17">
        <f>IF(N(C12)=0,"",MIN(IF(N(D12)&gt;0,D12/C12,9E99),IF(N(E12)&gt;0,E12/C12,9E99),IF(N(F12)&gt;0,F12/C12,9E99)))</f>
        <v/>
      </c>
      <c r="I12" s="18" t="n"/>
      <c r="J12" s="19">
        <f>IF(OR(N(I12)=0,N(H12)=0),"",(I12-H12)*G12)</f>
        <v/>
      </c>
      <c r="K12" s="20">
        <f>IF(N(I12)=0,"",(I12-H12)/I12)</f>
        <v/>
      </c>
    </row>
    <row r="13">
      <c r="A13" s="13" t="n"/>
      <c r="B13" s="13" t="n"/>
      <c r="C13" s="14" t="n"/>
      <c r="D13" s="15" t="n"/>
      <c r="E13" s="15" t="n"/>
      <c r="F13" s="15" t="n"/>
      <c r="G13" s="16" t="n"/>
      <c r="H13" s="17">
        <f>IF(N(C13)=0,"",MIN(IF(N(D13)&gt;0,D13/C13,9E99),IF(N(E13)&gt;0,E13/C13,9E99),IF(N(F13)&gt;0,F13/C13,9E99)))</f>
        <v/>
      </c>
      <c r="I13" s="18" t="n"/>
      <c r="J13" s="19">
        <f>IF(OR(N(I13)=0,N(H13)=0),"",(I13-H13)*G13)</f>
        <v/>
      </c>
      <c r="K13" s="20">
        <f>IF(N(I13)=0,"",(I13-H13)/I13)</f>
        <v/>
      </c>
    </row>
    <row r="15" ht="22" customHeight="1">
      <c r="I15" s="21" t="inlineStr">
        <is>
          <t>AHORRO ANUAL TOTAL</t>
        </is>
      </c>
      <c r="J15" s="22">
        <f>SUM(J6:J13)</f>
        <v/>
      </c>
    </row>
    <row r="17">
      <c r="A17" s="23" t="inlineStr">
        <is>
          <t>Ordena por 'Ahorro anual' de mayor a menor y empieza por arriba. Los tres primeros productos suelen valer mas que los treinta siguientes juntos.</t>
        </is>
      </c>
    </row>
  </sheetData>
  <mergeCells count="3">
    <mergeCell ref="A2:K2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 Metodo 360</dc:creator>
  <dc:title xmlns:dc="http://purl.org/dc/elements/1.1/">Comparativa de proveedores</dc:title>
  <dcterms:created xmlns:dcterms="http://purl.org/dc/terms/" xmlns:xsi="http://www.w3.org/2001/XMLSchema-instance" xsi:type="dcterms:W3CDTF">2026-09-01T16:31:32Z</dcterms:created>
  <dcterms:modified xmlns:dcterms="http://purl.org/dc/terms/" xmlns:xsi="http://www.w3.org/2001/XMLSchema-instance" xsi:type="dcterms:W3CDTF">2026-09-01T16:31:46Z</dcterms:modified>
</cp:coreProperties>
</file>