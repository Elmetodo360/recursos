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O SE USA" sheetId="1" state="visible" r:id="rId1"/>
    <sheet xmlns:r="http://schemas.openxmlformats.org/officeDocument/2006/relationships" name="RENDIMIENTO" sheetId="2" state="visible" r:id="rId2"/>
    <sheet xmlns:r="http://schemas.openxmlformats.org/officeDocument/2006/relationships" name="PARTE DIARIO" sheetId="3" state="visible" r:id="rId3"/>
    <sheet xmlns:r="http://schemas.openxmlformats.org/officeDocument/2006/relationships" name="RESUMEN" sheetId="4" state="visible" r:id="rId4"/>
    <sheet xmlns:r="http://schemas.openxmlformats.org/officeDocument/2006/relationships" name="EJEMPLO rendimiento" sheetId="5" state="visible" r:id="rId5"/>
    <sheet xmlns:r="http://schemas.openxmlformats.org/officeDocument/2006/relationships" name="EJEMPLO parte" sheetId="6" state="visible" r:id="rId6"/>
  </sheets>
  <definedNames/>
  <calcPr calcId="124519" fullCalcOnLoad="1"/>
</workbook>
</file>

<file path=xl/styles.xml><?xml version="1.0" encoding="utf-8"?>
<styleSheet xmlns="http://schemas.openxmlformats.org/spreadsheetml/2006/main">
  <numFmts count="3">
    <numFmt numFmtId="164" formatCode="#,##0.000"/>
    <numFmt numFmtId="165" formatCode="#,##0.00 &quot;€&quot;"/>
    <numFmt numFmtId="166" formatCode="0.0 %"/>
  </numFmts>
  <fonts count="15">
    <font>
      <name val="Calibri"/>
      <family val="2"/>
      <color theme="1"/>
      <sz val="11"/>
      <scheme val="minor"/>
    </font>
    <font>
      <name val="Calibri"/>
      <b val="1"/>
      <color rgb="00A32834"/>
      <sz val="18"/>
    </font>
    <font>
      <name val="Calibri"/>
      <color rgb="005E6266"/>
      <sz val="9"/>
    </font>
    <font>
      <name val="Calibri"/>
      <b val="1"/>
      <color rgb="0015171B"/>
      <sz val="12"/>
    </font>
    <font>
      <b val="1"/>
      <color rgb="00A32834"/>
      <sz val="11"/>
    </font>
    <font>
      <b val="1"/>
      <color rgb="0015171B"/>
      <sz val="10.5"/>
    </font>
    <font>
      <name val="Calibri"/>
      <color rgb="0015171B"/>
      <sz val="10.5"/>
    </font>
    <font>
      <name val="Calibri"/>
      <b val="1"/>
      <color rgb="00FFFFFF"/>
      <sz val="10"/>
    </font>
    <font>
      <b val="1"/>
      <color rgb="00A32834"/>
      <sz val="10.5"/>
    </font>
    <font>
      <b val="1"/>
      <color rgb="00FFFFFF"/>
      <sz val="11"/>
    </font>
    <font>
      <name val="Calibri"/>
      <i val="1"/>
      <color rgb="005E6266"/>
      <sz val="9"/>
    </font>
    <font>
      <color rgb="0015171B"/>
      <sz val="10.5"/>
    </font>
    <font>
      <b val="1"/>
      <color rgb="0015171B"/>
      <sz val="11"/>
    </font>
    <font>
      <b val="1"/>
      <color rgb="001F6F4A"/>
      <sz val="10.5"/>
    </font>
    <font>
      <b val="1"/>
      <color rgb="00B8860B"/>
      <sz val="10.5"/>
    </font>
  </fonts>
  <fills count="5">
    <fill>
      <patternFill/>
    </fill>
    <fill>
      <patternFill patternType="gray125"/>
    </fill>
    <fill>
      <patternFill patternType="solid">
        <fgColor rgb="00A32834"/>
      </patternFill>
    </fill>
    <fill>
      <patternFill patternType="solid">
        <fgColor rgb="00FFFDF5"/>
      </patternFill>
    </fill>
    <fill>
      <patternFill patternType="solid">
        <fgColor rgb="00F6F5F2"/>
      </patternFill>
    </fill>
  </fills>
  <borders count="6">
    <border>
      <left/>
      <right/>
      <top/>
      <bottom/>
      <diagonal/>
    </border>
    <border>
      <left style="thin">
        <color rgb="00D8D4CC"/>
      </left>
      <right style="thin">
        <color rgb="00D8D4CC"/>
      </right>
      <top style="thin">
        <color rgb="00D8D4CC"/>
      </top>
      <bottom style="thin">
        <color rgb="00D8D4CC"/>
      </bottom>
    </border>
    <border>
      <left/>
      <right/>
      <top style="thin">
        <color rgb="00D8D4CC"/>
      </top>
      <bottom/>
      <diagonal/>
    </border>
    <border>
      <left/>
      <right style="thin">
        <color rgb="00D8D4CC"/>
      </right>
      <top style="thin">
        <color rgb="00D8D4CC"/>
      </top>
      <bottom/>
      <diagonal/>
    </border>
    <border>
      <left/>
      <right/>
      <top style="thin">
        <color rgb="00D8D4CC"/>
      </top>
      <bottom style="thin">
        <color rgb="00D8D4CC"/>
      </bottom>
      <diagonal/>
    </border>
    <border>
      <left/>
      <right style="thin">
        <color rgb="00D8D4CC"/>
      </right>
      <top style="thin">
        <color rgb="00D8D4CC"/>
      </top>
      <bottom style="thin">
        <color rgb="00D8D4CC"/>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1" applyAlignment="1" pivotButton="0" quotePrefix="0" xfId="0">
      <alignment horizontal="center" vertical="center" wrapText="1"/>
    </xf>
    <xf numFmtId="0" fontId="6" fillId="3" borderId="1" pivotButton="0" quotePrefix="0" xfId="0"/>
    <xf numFmtId="164" fontId="6" fillId="3" borderId="1" pivotButton="0" quotePrefix="0" xfId="0"/>
    <xf numFmtId="165" fontId="6" fillId="3" borderId="1" pivotButton="0" quotePrefix="0" xfId="0"/>
    <xf numFmtId="166" fontId="0" fillId="4" borderId="1" pivotButton="0" quotePrefix="0" xfId="0"/>
    <xf numFmtId="165" fontId="8" fillId="4" borderId="1" pivotButton="0" quotePrefix="0" xfId="0"/>
    <xf numFmtId="165" fontId="5" fillId="4" borderId="1" pivotButton="0" quotePrefix="0" xfId="0"/>
    <xf numFmtId="0" fontId="9" fillId="2" borderId="0" applyAlignment="1" pivotButton="0" quotePrefix="0" xfId="0">
      <alignment horizontal="right" vertical="center"/>
    </xf>
    <xf numFmtId="165" fontId="9" fillId="2" borderId="0" pivotButton="0" quotePrefix="0" xfId="0"/>
    <xf numFmtId="0" fontId="10" fillId="0" borderId="0" pivotButton="0" quotePrefix="0" xfId="0"/>
    <xf numFmtId="0" fontId="11" fillId="0" borderId="1" pivotButton="0" quotePrefix="0" xfId="0"/>
    <xf numFmtId="0" fontId="2" fillId="0" borderId="0" applyAlignment="1" pivotButton="0" quotePrefix="0" xfId="0">
      <alignment vertical="center" wrapText="1"/>
    </xf>
    <xf numFmtId="165" fontId="4" fillId="4" borderId="1" pivotButton="0" quotePrefix="0" xfId="0"/>
    <xf numFmtId="165" fontId="12" fillId="3" borderId="1" pivotButton="0" quotePrefix="0" xfId="0"/>
    <xf numFmtId="0" fontId="5" fillId="0" borderId="1" pivotButton="0" quotePrefix="0" xfId="0"/>
    <xf numFmtId="166" fontId="4" fillId="4" borderId="1" pivotButton="0" quotePrefix="0" xfId="0"/>
    <xf numFmtId="0" fontId="13" fillId="0" borderId="1" pivotButton="0" quotePrefix="0" xfId="0"/>
    <xf numFmtId="0" fontId="0" fillId="0" borderId="4" pivotButton="0" quotePrefix="0" xfId="0"/>
    <xf numFmtId="0" fontId="0" fillId="0" borderId="5" pivotButton="0" quotePrefix="0" xfId="0"/>
    <xf numFmtId="0" fontId="6" fillId="0" borderId="0" applyAlignment="1" pivotButton="0" quotePrefix="0" xfId="0">
      <alignment vertical="center" wrapText="1"/>
    </xf>
    <xf numFmtId="0" fontId="14" fillId="0" borderId="1" pivotButton="0" quotePrefix="0" xfId="0"/>
    <xf numFmtId="0"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showGridLines="0" workbookViewId="0">
      <selection activeCell="A1" sqref="A1"/>
    </sheetView>
  </sheetViews>
  <sheetFormatPr baseColWidth="8" defaultRowHeight="15"/>
  <cols>
    <col width="4" customWidth="1" min="1" max="1"/>
    <col width="50" customWidth="1" min="2" max="2"/>
    <col width="76" customWidth="1" min="3" max="3"/>
  </cols>
  <sheetData>
    <row r="1" ht="26" customHeight="1">
      <c r="A1" s="1" t="inlineStr">
        <is>
          <t>Hoja de mermas</t>
        </is>
      </c>
    </row>
    <row r="2">
      <c r="A2" s="2" t="inlineStr">
        <is>
          <t>El Metodo 360 · elmetodo360.com</t>
        </is>
      </c>
    </row>
    <row r="3" ht="6" customHeight="1"/>
    <row r="5">
      <c r="B5" s="3" t="inlineStr">
        <is>
          <t>Los cinco principios</t>
        </is>
      </c>
    </row>
    <row r="6" ht="50" customHeight="1">
      <c r="A6" s="4" t="n">
        <v>1</v>
      </c>
      <c r="B6" s="5" t="inlineStr">
        <is>
          <t>El precio del albaran no es el precio del plato.</t>
        </is>
      </c>
      <c r="C6" s="6" t="inlineStr">
        <is>
          <t>Si de un kilo de merluza aprovechas 620 gramos, el kilo util te cuesta un 61 % mas de lo que pone la factura. Los escandallos hechos con el precio del albaran mienten, y mienten siempre a la baja.</t>
        </is>
      </c>
    </row>
    <row r="7" ht="50" customHeight="1">
      <c r="A7" s="4" t="n">
        <v>2</v>
      </c>
      <c r="B7" s="5" t="inlineStr">
        <is>
          <t>El rendimiento se mide una vez; el desperdicio, todos los dias.</t>
        </is>
      </c>
      <c r="C7" s="6" t="inlineStr">
        <is>
          <t>Pesa el producto entero, limpialo, pesa lo aprovechable y guarda ese factor. No hace falta repetirlo salvo que cambies de proveedor o de calibre.</t>
        </is>
      </c>
    </row>
    <row r="8" ht="50" customHeight="1">
      <c r="A8" s="4" t="n">
        <v>3</v>
      </c>
      <c r="B8" s="5" t="inlineStr">
        <is>
          <t>Sin motivo, el dato no sirve.</t>
        </is>
      </c>
      <c r="C8" s="6" t="inlineStr">
        <is>
          <t>Apuntar 'dos kilos de tomate' no arregla nada. Apuntar 'dos kilos de tomate, caducado' te dice que compras de mas. 'Error de cocina' te dice que hay que formar. Es el motivo lo que se corrige, no el kilo.</t>
        </is>
      </c>
    </row>
    <row r="9" ht="50" customHeight="1">
      <c r="A9" s="4" t="n">
        <v>4</v>
      </c>
      <c r="B9" s="5" t="inlineStr">
        <is>
          <t>Si no hubo merma, se escribe cero.</t>
        </is>
      </c>
      <c r="C9" s="6" t="inlineStr">
        <is>
          <t>Un dia en blanco no significa que no se tirara nada: significa que nadie lo apunto. El cero es un dato; el hueco, no.</t>
        </is>
      </c>
    </row>
    <row r="10" ht="50" customHeight="1">
      <c r="A10" s="4" t="n">
        <v>5</v>
      </c>
      <c r="B10" s="5" t="inlineStr">
        <is>
          <t>Se cuenta en euros, no en kilos.</t>
        </is>
      </c>
      <c r="C10" s="6" t="inlineStr">
        <is>
          <t>Tres kilos de patata y trescientos gramos de solomillo no son comparables en peso, pero si en dinero. La hoja lo convierte sola.</t>
        </is>
      </c>
    </row>
    <row r="12" ht="32" customHeight="1">
      <c r="B12" s="6" t="inlineStr">
        <is>
          <t>RENDIMIENTO: se hace una vez por producto. Pesa entero, limpia, pesa lo aprovechable. La hoja te da el coste real del kilo util, que es el que va al escandallo.</t>
        </is>
      </c>
    </row>
    <row r="13" ht="32" customHeight="1">
      <c r="B13" s="6" t="inlineStr">
        <is>
          <t>PARTE DIARIO: se rellena al cerrar, con el producto, la cantidad y el motivo. El coste sale solo si el producto esta en la pestana RENDIMIENTO.</t>
        </is>
      </c>
    </row>
    <row r="14" ht="32" customHeight="1">
      <c r="B14" s="6" t="inlineStr">
        <is>
          <t>RESUMEN: no se toca. Dice por que motivo se te va el dinero y que producto lo lidera.</t>
        </is>
      </c>
    </row>
  </sheetData>
  <mergeCells count="5">
    <mergeCell ref="B13:C13"/>
    <mergeCell ref="A1:C1"/>
    <mergeCell ref="B14:C14"/>
    <mergeCell ref="A2:C2"/>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showGridLines="0" workbookViewId="0">
      <pane ySplit="5" topLeftCell="A6" activePane="bottomLeft" state="frozen"/>
      <selection pane="bottomLeft" activeCell="A1" sqref="A1"/>
    </sheetView>
  </sheetViews>
  <sheetFormatPr baseColWidth="8" defaultRowHeight="15"/>
  <cols>
    <col width="34" customWidth="1" min="1" max="1"/>
    <col width="11" customWidth="1" min="2" max="2"/>
    <col width="13" customWidth="1" min="3" max="3"/>
    <col width="13" customWidth="1" min="4" max="4"/>
    <col width="16" customWidth="1" min="5" max="5"/>
    <col width="13" customWidth="1" min="6" max="6"/>
    <col width="17" customWidth="1" min="7" max="7"/>
    <col width="13" customWidth="1" min="8" max="8"/>
  </cols>
  <sheetData>
    <row r="1" ht="26" customHeight="1">
      <c r="A1" s="1" t="inlineStr">
        <is>
          <t>Rendimiento por producto</t>
        </is>
      </c>
    </row>
    <row r="2">
      <c r="A2" s="2" t="inlineStr">
        <is>
          <t>Se mide una vez. El coste del kilo util es el que va al escandallo.</t>
        </is>
      </c>
    </row>
    <row r="3" ht="6" customHeight="1"/>
    <row r="5" ht="30" customHeight="1">
      <c r="A5" s="7" t="inlineStr">
        <is>
          <t>Producto</t>
        </is>
      </c>
      <c r="B5" s="7" t="inlineStr">
        <is>
          <t>Unidad</t>
        </is>
      </c>
      <c r="C5" s="7" t="inlineStr">
        <is>
          <t>Peso bruto</t>
        </is>
      </c>
      <c r="D5" s="7" t="inlineStr">
        <is>
          <t>Peso limpio</t>
        </is>
      </c>
      <c r="E5" s="7" t="inlineStr">
        <is>
          <t>Coste del bruto</t>
        </is>
      </c>
      <c r="F5" s="7" t="inlineStr">
        <is>
          <t>Rendimiento</t>
        </is>
      </c>
      <c r="G5" s="7" t="inlineStr">
        <is>
          <t>Coste del kilo util</t>
        </is>
      </c>
      <c r="H5" s="7" t="inlineStr">
        <is>
          <t>Sobrecoste</t>
        </is>
      </c>
    </row>
    <row r="6">
      <c r="A6" s="8" t="n"/>
      <c r="B6" s="8" t="n"/>
      <c r="C6" s="9" t="n"/>
      <c r="D6" s="9" t="n"/>
      <c r="E6" s="10" t="n"/>
      <c r="F6" s="11">
        <f>IF(N(C6)=0,"",D6/C6)</f>
        <v/>
      </c>
      <c r="G6" s="12">
        <f>IF(N(D6)=0,"",E6/(D6/C6))</f>
        <v/>
      </c>
      <c r="H6" s="11">
        <f>IF(N(E6)=0,"",(G6-E6)/E6)</f>
        <v/>
      </c>
    </row>
    <row r="7">
      <c r="A7" s="8" t="n"/>
      <c r="B7" s="8" t="n"/>
      <c r="C7" s="9" t="n"/>
      <c r="D7" s="9" t="n"/>
      <c r="E7" s="10" t="n"/>
      <c r="F7" s="11">
        <f>IF(N(C7)=0,"",D7/C7)</f>
        <v/>
      </c>
      <c r="G7" s="12">
        <f>IF(N(D7)=0,"",E7/(D7/C7))</f>
        <v/>
      </c>
      <c r="H7" s="11">
        <f>IF(N(E7)=0,"",(G7-E7)/E7)</f>
        <v/>
      </c>
    </row>
    <row r="8">
      <c r="A8" s="8" t="n"/>
      <c r="B8" s="8" t="n"/>
      <c r="C8" s="9" t="n"/>
      <c r="D8" s="9" t="n"/>
      <c r="E8" s="10" t="n"/>
      <c r="F8" s="11">
        <f>IF(N(C8)=0,"",D8/C8)</f>
        <v/>
      </c>
      <c r="G8" s="12">
        <f>IF(N(D8)=0,"",E8/(D8/C8))</f>
        <v/>
      </c>
      <c r="H8" s="11">
        <f>IF(N(E8)=0,"",(G8-E8)/E8)</f>
        <v/>
      </c>
    </row>
    <row r="9">
      <c r="A9" s="8" t="n"/>
      <c r="B9" s="8" t="n"/>
      <c r="C9" s="9" t="n"/>
      <c r="D9" s="9" t="n"/>
      <c r="E9" s="10" t="n"/>
      <c r="F9" s="11">
        <f>IF(N(C9)=0,"",D9/C9)</f>
        <v/>
      </c>
      <c r="G9" s="12">
        <f>IF(N(D9)=0,"",E9/(D9/C9))</f>
        <v/>
      </c>
      <c r="H9" s="11">
        <f>IF(N(E9)=0,"",(G9-E9)/E9)</f>
        <v/>
      </c>
    </row>
    <row r="10">
      <c r="A10" s="8" t="n"/>
      <c r="B10" s="8" t="n"/>
      <c r="C10" s="9" t="n"/>
      <c r="D10" s="9" t="n"/>
      <c r="E10" s="10" t="n"/>
      <c r="F10" s="11">
        <f>IF(N(C10)=0,"",D10/C10)</f>
        <v/>
      </c>
      <c r="G10" s="12">
        <f>IF(N(D10)=0,"",E10/(D10/C10))</f>
        <v/>
      </c>
      <c r="H10" s="11">
        <f>IF(N(E10)=0,"",(G10-E10)/E10)</f>
        <v/>
      </c>
    </row>
    <row r="11">
      <c r="A11" s="8" t="n"/>
      <c r="B11" s="8" t="n"/>
      <c r="C11" s="9" t="n"/>
      <c r="D11" s="9" t="n"/>
      <c r="E11" s="10" t="n"/>
      <c r="F11" s="11">
        <f>IF(N(C11)=0,"",D11/C11)</f>
        <v/>
      </c>
      <c r="G11" s="12">
        <f>IF(N(D11)=0,"",E11/(D11/C11))</f>
        <v/>
      </c>
      <c r="H11" s="11">
        <f>IF(N(E11)=0,"",(G11-E11)/E11)</f>
        <v/>
      </c>
    </row>
    <row r="12">
      <c r="A12" s="8" t="n"/>
      <c r="B12" s="8" t="n"/>
      <c r="C12" s="9" t="n"/>
      <c r="D12" s="9" t="n"/>
      <c r="E12" s="10" t="n"/>
      <c r="F12" s="11">
        <f>IF(N(C12)=0,"",D12/C12)</f>
        <v/>
      </c>
      <c r="G12" s="12">
        <f>IF(N(D12)=0,"",E12/(D12/C12))</f>
        <v/>
      </c>
      <c r="H12" s="11">
        <f>IF(N(E12)=0,"",(G12-E12)/E12)</f>
        <v/>
      </c>
    </row>
    <row r="13">
      <c r="A13" s="8" t="n"/>
      <c r="B13" s="8" t="n"/>
      <c r="C13" s="9" t="n"/>
      <c r="D13" s="9" t="n"/>
      <c r="E13" s="10" t="n"/>
      <c r="F13" s="11">
        <f>IF(N(C13)=0,"",D13/C13)</f>
        <v/>
      </c>
      <c r="G13" s="12">
        <f>IF(N(D13)=0,"",E13/(D13/C13))</f>
        <v/>
      </c>
      <c r="H13" s="11">
        <f>IF(N(E13)=0,"",(G13-E13)/E13)</f>
        <v/>
      </c>
    </row>
    <row r="14">
      <c r="A14" s="8" t="n"/>
      <c r="B14" s="8" t="n"/>
      <c r="C14" s="9" t="n"/>
      <c r="D14" s="9" t="n"/>
      <c r="E14" s="10" t="n"/>
      <c r="F14" s="11">
        <f>IF(N(C14)=0,"",D14/C14)</f>
        <v/>
      </c>
      <c r="G14" s="12">
        <f>IF(N(D14)=0,"",E14/(D14/C14))</f>
        <v/>
      </c>
      <c r="H14" s="11">
        <f>IF(N(E14)=0,"",(G14-E14)/E14)</f>
        <v/>
      </c>
    </row>
    <row r="15">
      <c r="A15" s="8" t="n"/>
      <c r="B15" s="8" t="n"/>
      <c r="C15" s="9" t="n"/>
      <c r="D15" s="9" t="n"/>
      <c r="E15" s="10" t="n"/>
      <c r="F15" s="11">
        <f>IF(N(C15)=0,"",D15/C15)</f>
        <v/>
      </c>
      <c r="G15" s="12">
        <f>IF(N(D15)=0,"",E15/(D15/C15))</f>
        <v/>
      </c>
      <c r="H15" s="11">
        <f>IF(N(E15)=0,"",(G15-E15)/E15)</f>
        <v/>
      </c>
    </row>
    <row r="16">
      <c r="A16" s="8" t="n"/>
      <c r="B16" s="8" t="n"/>
      <c r="C16" s="9" t="n"/>
      <c r="D16" s="9" t="n"/>
      <c r="E16" s="10" t="n"/>
      <c r="F16" s="11">
        <f>IF(N(C16)=0,"",D16/C16)</f>
        <v/>
      </c>
      <c r="G16" s="12">
        <f>IF(N(D16)=0,"",E16/(D16/C16))</f>
        <v/>
      </c>
      <c r="H16" s="11">
        <f>IF(N(E16)=0,"",(G16-E16)/E16)</f>
        <v/>
      </c>
    </row>
    <row r="17">
      <c r="A17" s="8" t="n"/>
      <c r="B17" s="8" t="n"/>
      <c r="C17" s="9" t="n"/>
      <c r="D17" s="9" t="n"/>
      <c r="E17" s="10" t="n"/>
      <c r="F17" s="11">
        <f>IF(N(C17)=0,"",D17/C17)</f>
        <v/>
      </c>
      <c r="G17" s="12">
        <f>IF(N(D17)=0,"",E17/(D17/C17))</f>
        <v/>
      </c>
      <c r="H17" s="11">
        <f>IF(N(E17)=0,"",(G17-E17)/E17)</f>
        <v/>
      </c>
    </row>
    <row r="18">
      <c r="A18" s="8" t="n"/>
      <c r="B18" s="8" t="n"/>
      <c r="C18" s="9" t="n"/>
      <c r="D18" s="9" t="n"/>
      <c r="E18" s="10" t="n"/>
      <c r="F18" s="11">
        <f>IF(N(C18)=0,"",D18/C18)</f>
        <v/>
      </c>
      <c r="G18" s="12">
        <f>IF(N(D18)=0,"",E18/(D18/C18))</f>
        <v/>
      </c>
      <c r="H18" s="11">
        <f>IF(N(E18)=0,"",(G18-E18)/E18)</f>
        <v/>
      </c>
    </row>
    <row r="19">
      <c r="A19" s="8" t="n"/>
      <c r="B19" s="8" t="n"/>
      <c r="C19" s="9" t="n"/>
      <c r="D19" s="9" t="n"/>
      <c r="E19" s="10" t="n"/>
      <c r="F19" s="11">
        <f>IF(N(C19)=0,"",D19/C19)</f>
        <v/>
      </c>
      <c r="G19" s="12">
        <f>IF(N(D19)=0,"",E19/(D19/C19))</f>
        <v/>
      </c>
      <c r="H19" s="11">
        <f>IF(N(E19)=0,"",(G19-E19)/E19)</f>
        <v/>
      </c>
    </row>
    <row r="20">
      <c r="A20" s="8" t="n"/>
      <c r="B20" s="8" t="n"/>
      <c r="C20" s="9" t="n"/>
      <c r="D20" s="9" t="n"/>
      <c r="E20" s="10" t="n"/>
      <c r="F20" s="11">
        <f>IF(N(C20)=0,"",D20/C20)</f>
        <v/>
      </c>
      <c r="G20" s="12">
        <f>IF(N(D20)=0,"",E20/(D20/C20))</f>
        <v/>
      </c>
      <c r="H20" s="11">
        <f>IF(N(E20)=0,"",(G20-E20)/E20)</f>
        <v/>
      </c>
    </row>
    <row r="21">
      <c r="A21" s="8" t="n"/>
      <c r="B21" s="8" t="n"/>
      <c r="C21" s="9" t="n"/>
      <c r="D21" s="9" t="n"/>
      <c r="E21" s="10" t="n"/>
      <c r="F21" s="11">
        <f>IF(N(C21)=0,"",D21/C21)</f>
        <v/>
      </c>
      <c r="G21" s="12">
        <f>IF(N(D21)=0,"",E21/(D21/C21))</f>
        <v/>
      </c>
      <c r="H21" s="11">
        <f>IF(N(E21)=0,"",(G21-E21)/E21)</f>
        <v/>
      </c>
    </row>
    <row r="22">
      <c r="A22" s="8" t="n"/>
      <c r="B22" s="8" t="n"/>
      <c r="C22" s="9" t="n"/>
      <c r="D22" s="9" t="n"/>
      <c r="E22" s="10" t="n"/>
      <c r="F22" s="11">
        <f>IF(N(C22)=0,"",D22/C22)</f>
        <v/>
      </c>
      <c r="G22" s="12">
        <f>IF(N(D22)=0,"",E22/(D22/C22))</f>
        <v/>
      </c>
      <c r="H22" s="11">
        <f>IF(N(E22)=0,"",(G22-E22)/E22)</f>
        <v/>
      </c>
    </row>
    <row r="23">
      <c r="A23" s="8" t="n"/>
      <c r="B23" s="8" t="n"/>
      <c r="C23" s="9" t="n"/>
      <c r="D23" s="9" t="n"/>
      <c r="E23" s="10" t="n"/>
      <c r="F23" s="11">
        <f>IF(N(C23)=0,"",D23/C23)</f>
        <v/>
      </c>
      <c r="G23" s="12">
        <f>IF(N(D23)=0,"",E23/(D23/C23))</f>
        <v/>
      </c>
      <c r="H23" s="11">
        <f>IF(N(E23)=0,"",(G23-E23)/E23)</f>
        <v/>
      </c>
    </row>
    <row r="24">
      <c r="A24" s="8" t="n"/>
      <c r="B24" s="8" t="n"/>
      <c r="C24" s="9" t="n"/>
      <c r="D24" s="9" t="n"/>
      <c r="E24" s="10" t="n"/>
      <c r="F24" s="11">
        <f>IF(N(C24)=0,"",D24/C24)</f>
        <v/>
      </c>
      <c r="G24" s="12">
        <f>IF(N(D24)=0,"",E24/(D24/C24))</f>
        <v/>
      </c>
      <c r="H24" s="11">
        <f>IF(N(E24)=0,"",(G24-E24)/E24)</f>
        <v/>
      </c>
    </row>
    <row r="25">
      <c r="A25" s="8" t="n"/>
      <c r="B25" s="8" t="n"/>
      <c r="C25" s="9" t="n"/>
      <c r="D25" s="9" t="n"/>
      <c r="E25" s="10" t="n"/>
      <c r="F25" s="11">
        <f>IF(N(C25)=0,"",D25/C25)</f>
        <v/>
      </c>
      <c r="G25" s="12">
        <f>IF(N(D25)=0,"",E25/(D25/C25))</f>
        <v/>
      </c>
      <c r="H25" s="11">
        <f>IF(N(E25)=0,"",(G25-E25)/E25)</f>
        <v/>
      </c>
    </row>
    <row r="26">
      <c r="A26" s="8" t="n"/>
      <c r="B26" s="8" t="n"/>
      <c r="C26" s="9" t="n"/>
      <c r="D26" s="9" t="n"/>
      <c r="E26" s="10" t="n"/>
      <c r="F26" s="11">
        <f>IF(N(C26)=0,"",D26/C26)</f>
        <v/>
      </c>
      <c r="G26" s="12">
        <f>IF(N(D26)=0,"",E26/(D26/C26))</f>
        <v/>
      </c>
      <c r="H26" s="11">
        <f>IF(N(E26)=0,"",(G26-E26)/E26)</f>
        <v/>
      </c>
    </row>
    <row r="27">
      <c r="A27" s="8" t="n"/>
      <c r="B27" s="8" t="n"/>
      <c r="C27" s="9" t="n"/>
      <c r="D27" s="9" t="n"/>
      <c r="E27" s="10" t="n"/>
      <c r="F27" s="11">
        <f>IF(N(C27)=0,"",D27/C27)</f>
        <v/>
      </c>
      <c r="G27" s="12">
        <f>IF(N(D27)=0,"",E27/(D27/C27))</f>
        <v/>
      </c>
      <c r="H27" s="11">
        <f>IF(N(E27)=0,"",(G27-E27)/E27)</f>
        <v/>
      </c>
    </row>
    <row r="28">
      <c r="A28" s="8" t="n"/>
      <c r="B28" s="8" t="n"/>
      <c r="C28" s="9" t="n"/>
      <c r="D28" s="9" t="n"/>
      <c r="E28" s="10" t="n"/>
      <c r="F28" s="11">
        <f>IF(N(C28)=0,"",D28/C28)</f>
        <v/>
      </c>
      <c r="G28" s="12">
        <f>IF(N(D28)=0,"",E28/(D28/C28))</f>
        <v/>
      </c>
      <c r="H28" s="11">
        <f>IF(N(E28)=0,"",(G28-E28)/E28)</f>
        <v/>
      </c>
    </row>
    <row r="29">
      <c r="A29" s="8" t="n"/>
      <c r="B29" s="8" t="n"/>
      <c r="C29" s="9" t="n"/>
      <c r="D29" s="9" t="n"/>
      <c r="E29" s="10" t="n"/>
      <c r="F29" s="11">
        <f>IF(N(C29)=0,"",D29/C29)</f>
        <v/>
      </c>
      <c r="G29" s="12">
        <f>IF(N(D29)=0,"",E29/(D29/C29))</f>
        <v/>
      </c>
      <c r="H29" s="11">
        <f>IF(N(E29)=0,"",(G29-E29)/E29)</f>
        <v/>
      </c>
    </row>
    <row r="30">
      <c r="A30" s="8" t="n"/>
      <c r="B30" s="8" t="n"/>
      <c r="C30" s="9" t="n"/>
      <c r="D30" s="9" t="n"/>
      <c r="E30" s="10" t="n"/>
      <c r="F30" s="11">
        <f>IF(N(C30)=0,"",D30/C30)</f>
        <v/>
      </c>
      <c r="G30" s="12">
        <f>IF(N(D30)=0,"",E30/(D30/C30))</f>
        <v/>
      </c>
      <c r="H30" s="11">
        <f>IF(N(E30)=0,"",(G30-E30)/E30)</f>
        <v/>
      </c>
    </row>
    <row r="31">
      <c r="A31" s="8" t="n"/>
      <c r="B31" s="8" t="n"/>
      <c r="C31" s="9" t="n"/>
      <c r="D31" s="9" t="n"/>
      <c r="E31" s="10" t="n"/>
      <c r="F31" s="11">
        <f>IF(N(C31)=0,"",D31/C31)</f>
        <v/>
      </c>
      <c r="G31" s="12">
        <f>IF(N(D31)=0,"",E31/(D31/C31))</f>
        <v/>
      </c>
      <c r="H31" s="11">
        <f>IF(N(E31)=0,"",(G31-E31)/E31)</f>
        <v/>
      </c>
    </row>
    <row r="32">
      <c r="A32" s="8" t="n"/>
      <c r="B32" s="8" t="n"/>
      <c r="C32" s="9" t="n"/>
      <c r="D32" s="9" t="n"/>
      <c r="E32" s="10" t="n"/>
      <c r="F32" s="11">
        <f>IF(N(C32)=0,"",D32/C32)</f>
        <v/>
      </c>
      <c r="G32" s="12">
        <f>IF(N(D32)=0,"",E32/(D32/C32))</f>
        <v/>
      </c>
      <c r="H32" s="11">
        <f>IF(N(E32)=0,"",(G32-E32)/E32)</f>
        <v/>
      </c>
    </row>
    <row r="33">
      <c r="A33" s="8" t="n"/>
      <c r="B33" s="8" t="n"/>
      <c r="C33" s="9" t="n"/>
      <c r="D33" s="9" t="n"/>
      <c r="E33" s="10" t="n"/>
      <c r="F33" s="11">
        <f>IF(N(C33)=0,"",D33/C33)</f>
        <v/>
      </c>
      <c r="G33" s="12">
        <f>IF(N(D33)=0,"",E33/(D33/C33))</f>
        <v/>
      </c>
      <c r="H33" s="11">
        <f>IF(N(E33)=0,"",(G33-E33)/E33)</f>
        <v/>
      </c>
    </row>
    <row r="34">
      <c r="A34" s="8" t="n"/>
      <c r="B34" s="8" t="n"/>
      <c r="C34" s="9" t="n"/>
      <c r="D34" s="9" t="n"/>
      <c r="E34" s="10" t="n"/>
      <c r="F34" s="11">
        <f>IF(N(C34)=0,"",D34/C34)</f>
        <v/>
      </c>
      <c r="G34" s="12">
        <f>IF(N(D34)=0,"",E34/(D34/C34))</f>
        <v/>
      </c>
      <c r="H34" s="11">
        <f>IF(N(E34)=0,"",(G34-E34)/E34)</f>
        <v/>
      </c>
    </row>
    <row r="35">
      <c r="A35" s="8" t="n"/>
      <c r="B35" s="8" t="n"/>
      <c r="C35" s="9" t="n"/>
      <c r="D35" s="9" t="n"/>
      <c r="E35" s="10" t="n"/>
      <c r="F35" s="11">
        <f>IF(N(C35)=0,"",D35/C35)</f>
        <v/>
      </c>
      <c r="G35" s="12">
        <f>IF(N(D35)=0,"",E35/(D35/C35))</f>
        <v/>
      </c>
      <c r="H35" s="11">
        <f>IF(N(E35)=0,"",(G35-E35)/E35)</f>
        <v/>
      </c>
    </row>
    <row r="36">
      <c r="A36" s="8" t="n"/>
      <c r="B36" s="8" t="n"/>
      <c r="C36" s="9" t="n"/>
      <c r="D36" s="9" t="n"/>
      <c r="E36" s="10" t="n"/>
      <c r="F36" s="11">
        <f>IF(N(C36)=0,"",D36/C36)</f>
        <v/>
      </c>
      <c r="G36" s="12">
        <f>IF(N(D36)=0,"",E36/(D36/C36))</f>
        <v/>
      </c>
      <c r="H36" s="11">
        <f>IF(N(E36)=0,"",(G36-E36)/E36)</f>
        <v/>
      </c>
    </row>
    <row r="37">
      <c r="A37" s="8" t="n"/>
      <c r="B37" s="8" t="n"/>
      <c r="C37" s="9" t="n"/>
      <c r="D37" s="9" t="n"/>
      <c r="E37" s="10" t="n"/>
      <c r="F37" s="11">
        <f>IF(N(C37)=0,"",D37/C37)</f>
        <v/>
      </c>
      <c r="G37" s="12">
        <f>IF(N(D37)=0,"",E37/(D37/C37))</f>
        <v/>
      </c>
      <c r="H37" s="11">
        <f>IF(N(E37)=0,"",(G37-E37)/E37)</f>
        <v/>
      </c>
    </row>
    <row r="38">
      <c r="A38" s="8" t="n"/>
      <c r="B38" s="8" t="n"/>
      <c r="C38" s="9" t="n"/>
      <c r="D38" s="9" t="n"/>
      <c r="E38" s="10" t="n"/>
      <c r="F38" s="11">
        <f>IF(N(C38)=0,"",D38/C38)</f>
        <v/>
      </c>
      <c r="G38" s="12">
        <f>IF(N(D38)=0,"",E38/(D38/C38))</f>
        <v/>
      </c>
      <c r="H38" s="11">
        <f>IF(N(E38)=0,"",(G38-E38)/E38)</f>
        <v/>
      </c>
    </row>
    <row r="39">
      <c r="A39" s="8" t="n"/>
      <c r="B39" s="8" t="n"/>
      <c r="C39" s="9" t="n"/>
      <c r="D39" s="9" t="n"/>
      <c r="E39" s="10" t="n"/>
      <c r="F39" s="11">
        <f>IF(N(C39)=0,"",D39/C39)</f>
        <v/>
      </c>
      <c r="G39" s="12">
        <f>IF(N(D39)=0,"",E39/(D39/C39))</f>
        <v/>
      </c>
      <c r="H39" s="11">
        <f>IF(N(E39)=0,"",(G39-E39)/E39)</f>
        <v/>
      </c>
    </row>
    <row r="40">
      <c r="A40" s="8" t="n"/>
      <c r="B40" s="8" t="n"/>
      <c r="C40" s="9" t="n"/>
      <c r="D40" s="9" t="n"/>
      <c r="E40" s="10" t="n"/>
      <c r="F40" s="11">
        <f>IF(N(C40)=0,"",D40/C40)</f>
        <v/>
      </c>
      <c r="G40" s="12">
        <f>IF(N(D40)=0,"",E40/(D40/C40))</f>
        <v/>
      </c>
      <c r="H40" s="11">
        <f>IF(N(E40)=0,"",(G40-E40)/E40)</f>
        <v/>
      </c>
    </row>
    <row r="41">
      <c r="A41" s="8" t="n"/>
      <c r="B41" s="8" t="n"/>
      <c r="C41" s="9" t="n"/>
      <c r="D41" s="9" t="n"/>
      <c r="E41" s="10" t="n"/>
      <c r="F41" s="11">
        <f>IF(N(C41)=0,"",D41/C41)</f>
        <v/>
      </c>
      <c r="G41" s="12">
        <f>IF(N(D41)=0,"",E41/(D41/C41))</f>
        <v/>
      </c>
      <c r="H41" s="11">
        <f>IF(N(E41)=0,"",(G41-E41)/E41)</f>
        <v/>
      </c>
    </row>
    <row r="42">
      <c r="A42" s="8" t="n"/>
      <c r="B42" s="8" t="n"/>
      <c r="C42" s="9" t="n"/>
      <c r="D42" s="9" t="n"/>
      <c r="E42" s="10" t="n"/>
      <c r="F42" s="11">
        <f>IF(N(C42)=0,"",D42/C42)</f>
        <v/>
      </c>
      <c r="G42" s="12">
        <f>IF(N(D42)=0,"",E42/(D42/C42))</f>
        <v/>
      </c>
      <c r="H42" s="11">
        <f>IF(N(E42)=0,"",(G42-E42)/E42)</f>
        <v/>
      </c>
    </row>
    <row r="43">
      <c r="A43" s="8" t="n"/>
      <c r="B43" s="8" t="n"/>
      <c r="C43" s="9" t="n"/>
      <c r="D43" s="9" t="n"/>
      <c r="E43" s="10" t="n"/>
      <c r="F43" s="11">
        <f>IF(N(C43)=0,"",D43/C43)</f>
        <v/>
      </c>
      <c r="G43" s="12">
        <f>IF(N(D43)=0,"",E43/(D43/C43))</f>
        <v/>
      </c>
      <c r="H43" s="11">
        <f>IF(N(E43)=0,"",(G43-E43)/E43)</f>
        <v/>
      </c>
    </row>
    <row r="44">
      <c r="A44" s="8" t="n"/>
      <c r="B44" s="8" t="n"/>
      <c r="C44" s="9" t="n"/>
      <c r="D44" s="9" t="n"/>
      <c r="E44" s="10" t="n"/>
      <c r="F44" s="11">
        <f>IF(N(C44)=0,"",D44/C44)</f>
        <v/>
      </c>
      <c r="G44" s="12">
        <f>IF(N(D44)=0,"",E44/(D44/C44))</f>
        <v/>
      </c>
      <c r="H44" s="11">
        <f>IF(N(E44)=0,"",(G44-E44)/E44)</f>
        <v/>
      </c>
    </row>
    <row r="45">
      <c r="A45" s="8" t="n"/>
      <c r="B45" s="8" t="n"/>
      <c r="C45" s="9" t="n"/>
      <c r="D45" s="9" t="n"/>
      <c r="E45" s="10" t="n"/>
      <c r="F45" s="11">
        <f>IF(N(C45)=0,"",D45/C45)</f>
        <v/>
      </c>
      <c r="G45" s="12">
        <f>IF(N(D45)=0,"",E45/(D45/C45))</f>
        <v/>
      </c>
      <c r="H45" s="11">
        <f>IF(N(E45)=0,"",(G45-E45)/E45)</f>
        <v/>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9"/>
  <sheetViews>
    <sheetView showGridLines="0" workbookViewId="0">
      <pane ySplit="5" topLeftCell="A6" activePane="bottomLeft" state="frozen"/>
      <selection pane="bottomLeft" activeCell="A1" sqref="A1"/>
    </sheetView>
  </sheetViews>
  <sheetFormatPr baseColWidth="8" defaultRowHeight="15"/>
  <cols>
    <col width="13" customWidth="1" min="1" max="1"/>
    <col width="34" customWidth="1" min="2" max="2"/>
    <col width="11" customWidth="1" min="3" max="3"/>
    <col width="12" customWidth="1" min="4" max="4"/>
    <col width="22" customWidth="1" min="5" max="5"/>
    <col width="15" customWidth="1" min="6" max="6"/>
    <col width="14" customWidth="1" min="7" max="7"/>
  </cols>
  <sheetData>
    <row r="1" ht="26" customHeight="1">
      <c r="A1" s="1" t="inlineStr">
        <is>
          <t>Parte diario de mermas</t>
        </is>
      </c>
    </row>
    <row r="2">
      <c r="A2" s="2" t="inlineStr">
        <is>
          <t>Se rellena al cerrar. Si no hubo merma, se escribe cero.</t>
        </is>
      </c>
    </row>
    <row r="3" ht="6" customHeight="1"/>
    <row r="5" ht="30" customHeight="1">
      <c r="A5" s="7" t="inlineStr">
        <is>
          <t>Fecha</t>
        </is>
      </c>
      <c r="B5" s="7" t="inlineStr">
        <is>
          <t>Producto</t>
        </is>
      </c>
      <c r="C5" s="7" t="inlineStr">
        <is>
          <t>Unidad</t>
        </is>
      </c>
      <c r="D5" s="7" t="inlineStr">
        <is>
          <t>Cantidad</t>
        </is>
      </c>
      <c r="E5" s="7" t="inlineStr">
        <is>
          <t>Motivo</t>
        </is>
      </c>
      <c r="F5" s="7" t="inlineStr">
        <is>
          <t>Coste unidad</t>
        </is>
      </c>
      <c r="G5" s="7" t="inlineStr">
        <is>
          <t>Coste</t>
        </is>
      </c>
    </row>
    <row r="6">
      <c r="A6" s="8" t="n"/>
      <c r="B6" s="8" t="n"/>
      <c r="C6" s="8" t="n"/>
      <c r="D6" s="9" t="n"/>
      <c r="E6" s="8" t="n"/>
      <c r="F6" s="10" t="n"/>
      <c r="G6" s="13">
        <f>IF(N(D6)*N(F6)=0,"",D6*F6)</f>
        <v/>
      </c>
    </row>
    <row r="7">
      <c r="A7" s="8" t="n"/>
      <c r="B7" s="8" t="n"/>
      <c r="C7" s="8" t="n"/>
      <c r="D7" s="9" t="n"/>
      <c r="E7" s="8" t="n"/>
      <c r="F7" s="10" t="n"/>
      <c r="G7" s="13">
        <f>IF(N(D7)*N(F7)=0,"",D7*F7)</f>
        <v/>
      </c>
    </row>
    <row r="8">
      <c r="A8" s="8" t="n"/>
      <c r="B8" s="8" t="n"/>
      <c r="C8" s="8" t="n"/>
      <c r="D8" s="9" t="n"/>
      <c r="E8" s="8" t="n"/>
      <c r="F8" s="10" t="n"/>
      <c r="G8" s="13">
        <f>IF(N(D8)*N(F8)=0,"",D8*F8)</f>
        <v/>
      </c>
    </row>
    <row r="9">
      <c r="A9" s="8" t="n"/>
      <c r="B9" s="8" t="n"/>
      <c r="C9" s="8" t="n"/>
      <c r="D9" s="9" t="n"/>
      <c r="E9" s="8" t="n"/>
      <c r="F9" s="10" t="n"/>
      <c r="G9" s="13">
        <f>IF(N(D9)*N(F9)=0,"",D9*F9)</f>
        <v/>
      </c>
    </row>
    <row r="10">
      <c r="A10" s="8" t="n"/>
      <c r="B10" s="8" t="n"/>
      <c r="C10" s="8" t="n"/>
      <c r="D10" s="9" t="n"/>
      <c r="E10" s="8" t="n"/>
      <c r="F10" s="10" t="n"/>
      <c r="G10" s="13">
        <f>IF(N(D10)*N(F10)=0,"",D10*F10)</f>
        <v/>
      </c>
    </row>
    <row r="11">
      <c r="A11" s="8" t="n"/>
      <c r="B11" s="8" t="n"/>
      <c r="C11" s="8" t="n"/>
      <c r="D11" s="9" t="n"/>
      <c r="E11" s="8" t="n"/>
      <c r="F11" s="10" t="n"/>
      <c r="G11" s="13">
        <f>IF(N(D11)*N(F11)=0,"",D11*F11)</f>
        <v/>
      </c>
    </row>
    <row r="12">
      <c r="A12" s="8" t="n"/>
      <c r="B12" s="8" t="n"/>
      <c r="C12" s="8" t="n"/>
      <c r="D12" s="9" t="n"/>
      <c r="E12" s="8" t="n"/>
      <c r="F12" s="10" t="n"/>
      <c r="G12" s="13">
        <f>IF(N(D12)*N(F12)=0,"",D12*F12)</f>
        <v/>
      </c>
    </row>
    <row r="13">
      <c r="A13" s="8" t="n"/>
      <c r="B13" s="8" t="n"/>
      <c r="C13" s="8" t="n"/>
      <c r="D13" s="9" t="n"/>
      <c r="E13" s="8" t="n"/>
      <c r="F13" s="10" t="n"/>
      <c r="G13" s="13">
        <f>IF(N(D13)*N(F13)=0,"",D13*F13)</f>
        <v/>
      </c>
    </row>
    <row r="14">
      <c r="A14" s="8" t="n"/>
      <c r="B14" s="8" t="n"/>
      <c r="C14" s="8" t="n"/>
      <c r="D14" s="9" t="n"/>
      <c r="E14" s="8" t="n"/>
      <c r="F14" s="10" t="n"/>
      <c r="G14" s="13">
        <f>IF(N(D14)*N(F14)=0,"",D14*F14)</f>
        <v/>
      </c>
    </row>
    <row r="15">
      <c r="A15" s="8" t="n"/>
      <c r="B15" s="8" t="n"/>
      <c r="C15" s="8" t="n"/>
      <c r="D15" s="9" t="n"/>
      <c r="E15" s="8" t="n"/>
      <c r="F15" s="10" t="n"/>
      <c r="G15" s="13">
        <f>IF(N(D15)*N(F15)=0,"",D15*F15)</f>
        <v/>
      </c>
    </row>
    <row r="16">
      <c r="A16" s="8" t="n"/>
      <c r="B16" s="8" t="n"/>
      <c r="C16" s="8" t="n"/>
      <c r="D16" s="9" t="n"/>
      <c r="E16" s="8" t="n"/>
      <c r="F16" s="10" t="n"/>
      <c r="G16" s="13">
        <f>IF(N(D16)*N(F16)=0,"",D16*F16)</f>
        <v/>
      </c>
    </row>
    <row r="17">
      <c r="A17" s="8" t="n"/>
      <c r="B17" s="8" t="n"/>
      <c r="C17" s="8" t="n"/>
      <c r="D17" s="9" t="n"/>
      <c r="E17" s="8" t="n"/>
      <c r="F17" s="10" t="n"/>
      <c r="G17" s="13">
        <f>IF(N(D17)*N(F17)=0,"",D17*F17)</f>
        <v/>
      </c>
    </row>
    <row r="18">
      <c r="A18" s="8" t="n"/>
      <c r="B18" s="8" t="n"/>
      <c r="C18" s="8" t="n"/>
      <c r="D18" s="9" t="n"/>
      <c r="E18" s="8" t="n"/>
      <c r="F18" s="10" t="n"/>
      <c r="G18" s="13">
        <f>IF(N(D18)*N(F18)=0,"",D18*F18)</f>
        <v/>
      </c>
    </row>
    <row r="19">
      <c r="A19" s="8" t="n"/>
      <c r="B19" s="8" t="n"/>
      <c r="C19" s="8" t="n"/>
      <c r="D19" s="9" t="n"/>
      <c r="E19" s="8" t="n"/>
      <c r="F19" s="10" t="n"/>
      <c r="G19" s="13">
        <f>IF(N(D19)*N(F19)=0,"",D19*F19)</f>
        <v/>
      </c>
    </row>
    <row r="20">
      <c r="A20" s="8" t="n"/>
      <c r="B20" s="8" t="n"/>
      <c r="C20" s="8" t="n"/>
      <c r="D20" s="9" t="n"/>
      <c r="E20" s="8" t="n"/>
      <c r="F20" s="10" t="n"/>
      <c r="G20" s="13">
        <f>IF(N(D20)*N(F20)=0,"",D20*F20)</f>
        <v/>
      </c>
    </row>
    <row r="21">
      <c r="A21" s="8" t="n"/>
      <c r="B21" s="8" t="n"/>
      <c r="C21" s="8" t="n"/>
      <c r="D21" s="9" t="n"/>
      <c r="E21" s="8" t="n"/>
      <c r="F21" s="10" t="n"/>
      <c r="G21" s="13">
        <f>IF(N(D21)*N(F21)=0,"",D21*F21)</f>
        <v/>
      </c>
    </row>
    <row r="22">
      <c r="A22" s="8" t="n"/>
      <c r="B22" s="8" t="n"/>
      <c r="C22" s="8" t="n"/>
      <c r="D22" s="9" t="n"/>
      <c r="E22" s="8" t="n"/>
      <c r="F22" s="10" t="n"/>
      <c r="G22" s="13">
        <f>IF(N(D22)*N(F22)=0,"",D22*F22)</f>
        <v/>
      </c>
    </row>
    <row r="23">
      <c r="A23" s="8" t="n"/>
      <c r="B23" s="8" t="n"/>
      <c r="C23" s="8" t="n"/>
      <c r="D23" s="9" t="n"/>
      <c r="E23" s="8" t="n"/>
      <c r="F23" s="10" t="n"/>
      <c r="G23" s="13">
        <f>IF(N(D23)*N(F23)=0,"",D23*F23)</f>
        <v/>
      </c>
    </row>
    <row r="24">
      <c r="A24" s="8" t="n"/>
      <c r="B24" s="8" t="n"/>
      <c r="C24" s="8" t="n"/>
      <c r="D24" s="9" t="n"/>
      <c r="E24" s="8" t="n"/>
      <c r="F24" s="10" t="n"/>
      <c r="G24" s="13">
        <f>IF(N(D24)*N(F24)=0,"",D24*F24)</f>
        <v/>
      </c>
    </row>
    <row r="25">
      <c r="A25" s="8" t="n"/>
      <c r="B25" s="8" t="n"/>
      <c r="C25" s="8" t="n"/>
      <c r="D25" s="9" t="n"/>
      <c r="E25" s="8" t="n"/>
      <c r="F25" s="10" t="n"/>
      <c r="G25" s="13">
        <f>IF(N(D25)*N(F25)=0,"",D25*F25)</f>
        <v/>
      </c>
    </row>
    <row r="26">
      <c r="A26" s="8" t="n"/>
      <c r="B26" s="8" t="n"/>
      <c r="C26" s="8" t="n"/>
      <c r="D26" s="9" t="n"/>
      <c r="E26" s="8" t="n"/>
      <c r="F26" s="10" t="n"/>
      <c r="G26" s="13">
        <f>IF(N(D26)*N(F26)=0,"",D26*F26)</f>
        <v/>
      </c>
    </row>
    <row r="27">
      <c r="A27" s="8" t="n"/>
      <c r="B27" s="8" t="n"/>
      <c r="C27" s="8" t="n"/>
      <c r="D27" s="9" t="n"/>
      <c r="E27" s="8" t="n"/>
      <c r="F27" s="10" t="n"/>
      <c r="G27" s="13">
        <f>IF(N(D27)*N(F27)=0,"",D27*F27)</f>
        <v/>
      </c>
    </row>
    <row r="28">
      <c r="A28" s="8" t="n"/>
      <c r="B28" s="8" t="n"/>
      <c r="C28" s="8" t="n"/>
      <c r="D28" s="9" t="n"/>
      <c r="E28" s="8" t="n"/>
      <c r="F28" s="10" t="n"/>
      <c r="G28" s="13">
        <f>IF(N(D28)*N(F28)=0,"",D28*F28)</f>
        <v/>
      </c>
    </row>
    <row r="29">
      <c r="A29" s="8" t="n"/>
      <c r="B29" s="8" t="n"/>
      <c r="C29" s="8" t="n"/>
      <c r="D29" s="9" t="n"/>
      <c r="E29" s="8" t="n"/>
      <c r="F29" s="10" t="n"/>
      <c r="G29" s="13">
        <f>IF(N(D29)*N(F29)=0,"",D29*F29)</f>
        <v/>
      </c>
    </row>
    <row r="30">
      <c r="A30" s="8" t="n"/>
      <c r="B30" s="8" t="n"/>
      <c r="C30" s="8" t="n"/>
      <c r="D30" s="9" t="n"/>
      <c r="E30" s="8" t="n"/>
      <c r="F30" s="10" t="n"/>
      <c r="G30" s="13">
        <f>IF(N(D30)*N(F30)=0,"",D30*F30)</f>
        <v/>
      </c>
    </row>
    <row r="31">
      <c r="A31" s="8" t="n"/>
      <c r="B31" s="8" t="n"/>
      <c r="C31" s="8" t="n"/>
      <c r="D31" s="9" t="n"/>
      <c r="E31" s="8" t="n"/>
      <c r="F31" s="10" t="n"/>
      <c r="G31" s="13">
        <f>IF(N(D31)*N(F31)=0,"",D31*F31)</f>
        <v/>
      </c>
    </row>
    <row r="32">
      <c r="A32" s="8" t="n"/>
      <c r="B32" s="8" t="n"/>
      <c r="C32" s="8" t="n"/>
      <c r="D32" s="9" t="n"/>
      <c r="E32" s="8" t="n"/>
      <c r="F32" s="10" t="n"/>
      <c r="G32" s="13">
        <f>IF(N(D32)*N(F32)=0,"",D32*F32)</f>
        <v/>
      </c>
    </row>
    <row r="33">
      <c r="A33" s="8" t="n"/>
      <c r="B33" s="8" t="n"/>
      <c r="C33" s="8" t="n"/>
      <c r="D33" s="9" t="n"/>
      <c r="E33" s="8" t="n"/>
      <c r="F33" s="10" t="n"/>
      <c r="G33" s="13">
        <f>IF(N(D33)*N(F33)=0,"",D33*F33)</f>
        <v/>
      </c>
    </row>
    <row r="34">
      <c r="A34" s="8" t="n"/>
      <c r="B34" s="8" t="n"/>
      <c r="C34" s="8" t="n"/>
      <c r="D34" s="9" t="n"/>
      <c r="E34" s="8" t="n"/>
      <c r="F34" s="10" t="n"/>
      <c r="G34" s="13">
        <f>IF(N(D34)*N(F34)=0,"",D34*F34)</f>
        <v/>
      </c>
    </row>
    <row r="35">
      <c r="A35" s="8" t="n"/>
      <c r="B35" s="8" t="n"/>
      <c r="C35" s="8" t="n"/>
      <c r="D35" s="9" t="n"/>
      <c r="E35" s="8" t="n"/>
      <c r="F35" s="10" t="n"/>
      <c r="G35" s="13">
        <f>IF(N(D35)*N(F35)=0,"",D35*F35)</f>
        <v/>
      </c>
    </row>
    <row r="36">
      <c r="A36" s="8" t="n"/>
      <c r="B36" s="8" t="n"/>
      <c r="C36" s="8" t="n"/>
      <c r="D36" s="9" t="n"/>
      <c r="E36" s="8" t="n"/>
      <c r="F36" s="10" t="n"/>
      <c r="G36" s="13">
        <f>IF(N(D36)*N(F36)=0,"",D36*F36)</f>
        <v/>
      </c>
    </row>
    <row r="37">
      <c r="A37" s="8" t="n"/>
      <c r="B37" s="8" t="n"/>
      <c r="C37" s="8" t="n"/>
      <c r="D37" s="9" t="n"/>
      <c r="E37" s="8" t="n"/>
      <c r="F37" s="10" t="n"/>
      <c r="G37" s="13">
        <f>IF(N(D37)*N(F37)=0,"",D37*F37)</f>
        <v/>
      </c>
    </row>
    <row r="38">
      <c r="A38" s="8" t="n"/>
      <c r="B38" s="8" t="n"/>
      <c r="C38" s="8" t="n"/>
      <c r="D38" s="9" t="n"/>
      <c r="E38" s="8" t="n"/>
      <c r="F38" s="10" t="n"/>
      <c r="G38" s="13">
        <f>IF(N(D38)*N(F38)=0,"",D38*F38)</f>
        <v/>
      </c>
    </row>
    <row r="39">
      <c r="A39" s="8" t="n"/>
      <c r="B39" s="8" t="n"/>
      <c r="C39" s="8" t="n"/>
      <c r="D39" s="9" t="n"/>
      <c r="E39" s="8" t="n"/>
      <c r="F39" s="10" t="n"/>
      <c r="G39" s="13">
        <f>IF(N(D39)*N(F39)=0,"",D39*F39)</f>
        <v/>
      </c>
    </row>
    <row r="40">
      <c r="A40" s="8" t="n"/>
      <c r="B40" s="8" t="n"/>
      <c r="C40" s="8" t="n"/>
      <c r="D40" s="9" t="n"/>
      <c r="E40" s="8" t="n"/>
      <c r="F40" s="10" t="n"/>
      <c r="G40" s="13">
        <f>IF(N(D40)*N(F40)=0,"",D40*F40)</f>
        <v/>
      </c>
    </row>
    <row r="41">
      <c r="A41" s="8" t="n"/>
      <c r="B41" s="8" t="n"/>
      <c r="C41" s="8" t="n"/>
      <c r="D41" s="9" t="n"/>
      <c r="E41" s="8" t="n"/>
      <c r="F41" s="10" t="n"/>
      <c r="G41" s="13">
        <f>IF(N(D41)*N(F41)=0,"",D41*F41)</f>
        <v/>
      </c>
    </row>
    <row r="42">
      <c r="A42" s="8" t="n"/>
      <c r="B42" s="8" t="n"/>
      <c r="C42" s="8" t="n"/>
      <c r="D42" s="9" t="n"/>
      <c r="E42" s="8" t="n"/>
      <c r="F42" s="10" t="n"/>
      <c r="G42" s="13">
        <f>IF(N(D42)*N(F42)=0,"",D42*F42)</f>
        <v/>
      </c>
    </row>
    <row r="43">
      <c r="A43" s="8" t="n"/>
      <c r="B43" s="8" t="n"/>
      <c r="C43" s="8" t="n"/>
      <c r="D43" s="9" t="n"/>
      <c r="E43" s="8" t="n"/>
      <c r="F43" s="10" t="n"/>
      <c r="G43" s="13">
        <f>IF(N(D43)*N(F43)=0,"",D43*F43)</f>
        <v/>
      </c>
    </row>
    <row r="44">
      <c r="A44" s="8" t="n"/>
      <c r="B44" s="8" t="n"/>
      <c r="C44" s="8" t="n"/>
      <c r="D44" s="9" t="n"/>
      <c r="E44" s="8" t="n"/>
      <c r="F44" s="10" t="n"/>
      <c r="G44" s="13">
        <f>IF(N(D44)*N(F44)=0,"",D44*F44)</f>
        <v/>
      </c>
    </row>
    <row r="45">
      <c r="A45" s="8" t="n"/>
      <c r="B45" s="8" t="n"/>
      <c r="C45" s="8" t="n"/>
      <c r="D45" s="9" t="n"/>
      <c r="E45" s="8" t="n"/>
      <c r="F45" s="10" t="n"/>
      <c r="G45" s="13">
        <f>IF(N(D45)*N(F45)=0,"",D45*F45)</f>
        <v/>
      </c>
    </row>
    <row r="46">
      <c r="A46" s="8" t="n"/>
      <c r="B46" s="8" t="n"/>
      <c r="C46" s="8" t="n"/>
      <c r="D46" s="9" t="n"/>
      <c r="E46" s="8" t="n"/>
      <c r="F46" s="10" t="n"/>
      <c r="G46" s="13">
        <f>IF(N(D46)*N(F46)=0,"",D46*F46)</f>
        <v/>
      </c>
    </row>
    <row r="47">
      <c r="A47" s="8" t="n"/>
      <c r="B47" s="8" t="n"/>
      <c r="C47" s="8" t="n"/>
      <c r="D47" s="9" t="n"/>
      <c r="E47" s="8" t="n"/>
      <c r="F47" s="10" t="n"/>
      <c r="G47" s="13">
        <f>IF(N(D47)*N(F47)=0,"",D47*F47)</f>
        <v/>
      </c>
    </row>
    <row r="48">
      <c r="A48" s="8" t="n"/>
      <c r="B48" s="8" t="n"/>
      <c r="C48" s="8" t="n"/>
      <c r="D48" s="9" t="n"/>
      <c r="E48" s="8" t="n"/>
      <c r="F48" s="10" t="n"/>
      <c r="G48" s="13">
        <f>IF(N(D48)*N(F48)=0,"",D48*F48)</f>
        <v/>
      </c>
    </row>
    <row r="49">
      <c r="A49" s="8" t="n"/>
      <c r="B49" s="8" t="n"/>
      <c r="C49" s="8" t="n"/>
      <c r="D49" s="9" t="n"/>
      <c r="E49" s="8" t="n"/>
      <c r="F49" s="10" t="n"/>
      <c r="G49" s="13">
        <f>IF(N(D49)*N(F49)=0,"",D49*F49)</f>
        <v/>
      </c>
    </row>
    <row r="50">
      <c r="A50" s="8" t="n"/>
      <c r="B50" s="8" t="n"/>
      <c r="C50" s="8" t="n"/>
      <c r="D50" s="9" t="n"/>
      <c r="E50" s="8" t="n"/>
      <c r="F50" s="10" t="n"/>
      <c r="G50" s="13">
        <f>IF(N(D50)*N(F50)=0,"",D50*F50)</f>
        <v/>
      </c>
    </row>
    <row r="51">
      <c r="A51" s="8" t="n"/>
      <c r="B51" s="8" t="n"/>
      <c r="C51" s="8" t="n"/>
      <c r="D51" s="9" t="n"/>
      <c r="E51" s="8" t="n"/>
      <c r="F51" s="10" t="n"/>
      <c r="G51" s="13">
        <f>IF(N(D51)*N(F51)=0,"",D51*F51)</f>
        <v/>
      </c>
    </row>
    <row r="52">
      <c r="A52" s="8" t="n"/>
      <c r="B52" s="8" t="n"/>
      <c r="C52" s="8" t="n"/>
      <c r="D52" s="9" t="n"/>
      <c r="E52" s="8" t="n"/>
      <c r="F52" s="10" t="n"/>
      <c r="G52" s="13">
        <f>IF(N(D52)*N(F52)=0,"",D52*F52)</f>
        <v/>
      </c>
    </row>
    <row r="53">
      <c r="A53" s="8" t="n"/>
      <c r="B53" s="8" t="n"/>
      <c r="C53" s="8" t="n"/>
      <c r="D53" s="9" t="n"/>
      <c r="E53" s="8" t="n"/>
      <c r="F53" s="10" t="n"/>
      <c r="G53" s="13">
        <f>IF(N(D53)*N(F53)=0,"",D53*F53)</f>
        <v/>
      </c>
    </row>
    <row r="54">
      <c r="A54" s="8" t="n"/>
      <c r="B54" s="8" t="n"/>
      <c r="C54" s="8" t="n"/>
      <c r="D54" s="9" t="n"/>
      <c r="E54" s="8" t="n"/>
      <c r="F54" s="10" t="n"/>
      <c r="G54" s="13">
        <f>IF(N(D54)*N(F54)=0,"",D54*F54)</f>
        <v/>
      </c>
    </row>
    <row r="55">
      <c r="A55" s="8" t="n"/>
      <c r="B55" s="8" t="n"/>
      <c r="C55" s="8" t="n"/>
      <c r="D55" s="9" t="n"/>
      <c r="E55" s="8" t="n"/>
      <c r="F55" s="10" t="n"/>
      <c r="G55" s="13">
        <f>IF(N(D55)*N(F55)=0,"",D55*F55)</f>
        <v/>
      </c>
    </row>
    <row r="56">
      <c r="A56" s="8" t="n"/>
      <c r="B56" s="8" t="n"/>
      <c r="C56" s="8" t="n"/>
      <c r="D56" s="9" t="n"/>
      <c r="E56" s="8" t="n"/>
      <c r="F56" s="10" t="n"/>
      <c r="G56" s="13">
        <f>IF(N(D56)*N(F56)=0,"",D56*F56)</f>
        <v/>
      </c>
    </row>
    <row r="57">
      <c r="A57" s="8" t="n"/>
      <c r="B57" s="8" t="n"/>
      <c r="C57" s="8" t="n"/>
      <c r="D57" s="9" t="n"/>
      <c r="E57" s="8" t="n"/>
      <c r="F57" s="10" t="n"/>
      <c r="G57" s="13">
        <f>IF(N(D57)*N(F57)=0,"",D57*F57)</f>
        <v/>
      </c>
    </row>
    <row r="58">
      <c r="A58" s="8" t="n"/>
      <c r="B58" s="8" t="n"/>
      <c r="C58" s="8" t="n"/>
      <c r="D58" s="9" t="n"/>
      <c r="E58" s="8" t="n"/>
      <c r="F58" s="10" t="n"/>
      <c r="G58" s="13">
        <f>IF(N(D58)*N(F58)=0,"",D58*F58)</f>
        <v/>
      </c>
    </row>
    <row r="59">
      <c r="A59" s="8" t="n"/>
      <c r="B59" s="8" t="n"/>
      <c r="C59" s="8" t="n"/>
      <c r="D59" s="9" t="n"/>
      <c r="E59" s="8" t="n"/>
      <c r="F59" s="10" t="n"/>
      <c r="G59" s="13">
        <f>IF(N(D59)*N(F59)=0,"",D59*F59)</f>
        <v/>
      </c>
    </row>
    <row r="60">
      <c r="A60" s="8" t="n"/>
      <c r="B60" s="8" t="n"/>
      <c r="C60" s="8" t="n"/>
      <c r="D60" s="9" t="n"/>
      <c r="E60" s="8" t="n"/>
      <c r="F60" s="10" t="n"/>
      <c r="G60" s="13">
        <f>IF(N(D60)*N(F60)=0,"",D60*F60)</f>
        <v/>
      </c>
    </row>
    <row r="61">
      <c r="A61" s="8" t="n"/>
      <c r="B61" s="8" t="n"/>
      <c r="C61" s="8" t="n"/>
      <c r="D61" s="9" t="n"/>
      <c r="E61" s="8" t="n"/>
      <c r="F61" s="10" t="n"/>
      <c r="G61" s="13">
        <f>IF(N(D61)*N(F61)=0,"",D61*F61)</f>
        <v/>
      </c>
    </row>
    <row r="62">
      <c r="A62" s="8" t="n"/>
      <c r="B62" s="8" t="n"/>
      <c r="C62" s="8" t="n"/>
      <c r="D62" s="9" t="n"/>
      <c r="E62" s="8" t="n"/>
      <c r="F62" s="10" t="n"/>
      <c r="G62" s="13">
        <f>IF(N(D62)*N(F62)=0,"",D62*F62)</f>
        <v/>
      </c>
    </row>
    <row r="63">
      <c r="A63" s="8" t="n"/>
      <c r="B63" s="8" t="n"/>
      <c r="C63" s="8" t="n"/>
      <c r="D63" s="9" t="n"/>
      <c r="E63" s="8" t="n"/>
      <c r="F63" s="10" t="n"/>
      <c r="G63" s="13">
        <f>IF(N(D63)*N(F63)=0,"",D63*F63)</f>
        <v/>
      </c>
    </row>
    <row r="64">
      <c r="A64" s="8" t="n"/>
      <c r="B64" s="8" t="n"/>
      <c r="C64" s="8" t="n"/>
      <c r="D64" s="9" t="n"/>
      <c r="E64" s="8" t="n"/>
      <c r="F64" s="10" t="n"/>
      <c r="G64" s="13">
        <f>IF(N(D64)*N(F64)=0,"",D64*F64)</f>
        <v/>
      </c>
    </row>
    <row r="65">
      <c r="A65" s="8" t="n"/>
      <c r="B65" s="8" t="n"/>
      <c r="C65" s="8" t="n"/>
      <c r="D65" s="9" t="n"/>
      <c r="E65" s="8" t="n"/>
      <c r="F65" s="10" t="n"/>
      <c r="G65" s="13">
        <f>IF(N(D65)*N(F65)=0,"",D65*F65)</f>
        <v/>
      </c>
    </row>
    <row r="66">
      <c r="A66" s="8" t="n"/>
      <c r="B66" s="8" t="n"/>
      <c r="C66" s="8" t="n"/>
      <c r="D66" s="9" t="n"/>
      <c r="E66" s="8" t="n"/>
      <c r="F66" s="10" t="n"/>
      <c r="G66" s="13">
        <f>IF(N(D66)*N(F66)=0,"",D66*F66)</f>
        <v/>
      </c>
    </row>
    <row r="67">
      <c r="A67" s="8" t="n"/>
      <c r="B67" s="8" t="n"/>
      <c r="C67" s="8" t="n"/>
      <c r="D67" s="9" t="n"/>
      <c r="E67" s="8" t="n"/>
      <c r="F67" s="10" t="n"/>
      <c r="G67" s="13">
        <f>IF(N(D67)*N(F67)=0,"",D67*F67)</f>
        <v/>
      </c>
    </row>
    <row r="68">
      <c r="A68" s="8" t="n"/>
      <c r="B68" s="8" t="n"/>
      <c r="C68" s="8" t="n"/>
      <c r="D68" s="9" t="n"/>
      <c r="E68" s="8" t="n"/>
      <c r="F68" s="10" t="n"/>
      <c r="G68" s="13">
        <f>IF(N(D68)*N(F68)=0,"",D68*F68)</f>
        <v/>
      </c>
    </row>
    <row r="69">
      <c r="A69" s="8" t="n"/>
      <c r="B69" s="8" t="n"/>
      <c r="C69" s="8" t="n"/>
      <c r="D69" s="9" t="n"/>
      <c r="E69" s="8" t="n"/>
      <c r="F69" s="10" t="n"/>
      <c r="G69" s="13">
        <f>IF(N(D69)*N(F69)=0,"",D69*F69)</f>
        <v/>
      </c>
    </row>
    <row r="70">
      <c r="A70" s="8" t="n"/>
      <c r="B70" s="8" t="n"/>
      <c r="C70" s="8" t="n"/>
      <c r="D70" s="9" t="n"/>
      <c r="E70" s="8" t="n"/>
      <c r="F70" s="10" t="n"/>
      <c r="G70" s="13">
        <f>IF(N(D70)*N(F70)=0,"",D70*F70)</f>
        <v/>
      </c>
    </row>
    <row r="71">
      <c r="A71" s="8" t="n"/>
      <c r="B71" s="8" t="n"/>
      <c r="C71" s="8" t="n"/>
      <c r="D71" s="9" t="n"/>
      <c r="E71" s="8" t="n"/>
      <c r="F71" s="10" t="n"/>
      <c r="G71" s="13">
        <f>IF(N(D71)*N(F71)=0,"",D71*F71)</f>
        <v/>
      </c>
    </row>
    <row r="72">
      <c r="A72" s="8" t="n"/>
      <c r="B72" s="8" t="n"/>
      <c r="C72" s="8" t="n"/>
      <c r="D72" s="9" t="n"/>
      <c r="E72" s="8" t="n"/>
      <c r="F72" s="10" t="n"/>
      <c r="G72" s="13">
        <f>IF(N(D72)*N(F72)=0,"",D72*F72)</f>
        <v/>
      </c>
    </row>
    <row r="73">
      <c r="A73" s="8" t="n"/>
      <c r="B73" s="8" t="n"/>
      <c r="C73" s="8" t="n"/>
      <c r="D73" s="9" t="n"/>
      <c r="E73" s="8" t="n"/>
      <c r="F73" s="10" t="n"/>
      <c r="G73" s="13">
        <f>IF(N(D73)*N(F73)=0,"",D73*F73)</f>
        <v/>
      </c>
    </row>
    <row r="74">
      <c r="A74" s="8" t="n"/>
      <c r="B74" s="8" t="n"/>
      <c r="C74" s="8" t="n"/>
      <c r="D74" s="9" t="n"/>
      <c r="E74" s="8" t="n"/>
      <c r="F74" s="10" t="n"/>
      <c r="G74" s="13">
        <f>IF(N(D74)*N(F74)=0,"",D74*F74)</f>
        <v/>
      </c>
    </row>
    <row r="75">
      <c r="A75" s="8" t="n"/>
      <c r="B75" s="8" t="n"/>
      <c r="C75" s="8" t="n"/>
      <c r="D75" s="9" t="n"/>
      <c r="E75" s="8" t="n"/>
      <c r="F75" s="10" t="n"/>
      <c r="G75" s="13">
        <f>IF(N(D75)*N(F75)=0,"",D75*F75)</f>
        <v/>
      </c>
    </row>
    <row r="76">
      <c r="A76" s="8" t="n"/>
      <c r="B76" s="8" t="n"/>
      <c r="C76" s="8" t="n"/>
      <c r="D76" s="9" t="n"/>
      <c r="E76" s="8" t="n"/>
      <c r="F76" s="10" t="n"/>
      <c r="G76" s="13">
        <f>IF(N(D76)*N(F76)=0,"",D76*F76)</f>
        <v/>
      </c>
    </row>
    <row r="77">
      <c r="A77" s="8" t="n"/>
      <c r="B77" s="8" t="n"/>
      <c r="C77" s="8" t="n"/>
      <c r="D77" s="9" t="n"/>
      <c r="E77" s="8" t="n"/>
      <c r="F77" s="10" t="n"/>
      <c r="G77" s="13">
        <f>IF(N(D77)*N(F77)=0,"",D77*F77)</f>
        <v/>
      </c>
    </row>
    <row r="78">
      <c r="A78" s="8" t="n"/>
      <c r="B78" s="8" t="n"/>
      <c r="C78" s="8" t="n"/>
      <c r="D78" s="9" t="n"/>
      <c r="E78" s="8" t="n"/>
      <c r="F78" s="10" t="n"/>
      <c r="G78" s="13">
        <f>IF(N(D78)*N(F78)=0,"",D78*F78)</f>
        <v/>
      </c>
    </row>
    <row r="79">
      <c r="A79" s="8" t="n"/>
      <c r="B79" s="8" t="n"/>
      <c r="C79" s="8" t="n"/>
      <c r="D79" s="9" t="n"/>
      <c r="E79" s="8" t="n"/>
      <c r="F79" s="10" t="n"/>
      <c r="G79" s="13">
        <f>IF(N(D79)*N(F79)=0,"",D79*F79)</f>
        <v/>
      </c>
    </row>
    <row r="80">
      <c r="A80" s="8" t="n"/>
      <c r="B80" s="8" t="n"/>
      <c r="C80" s="8" t="n"/>
      <c r="D80" s="9" t="n"/>
      <c r="E80" s="8" t="n"/>
      <c r="F80" s="10" t="n"/>
      <c r="G80" s="13">
        <f>IF(N(D80)*N(F80)=0,"",D80*F80)</f>
        <v/>
      </c>
    </row>
    <row r="81">
      <c r="A81" s="8" t="n"/>
      <c r="B81" s="8" t="n"/>
      <c r="C81" s="8" t="n"/>
      <c r="D81" s="9" t="n"/>
      <c r="E81" s="8" t="n"/>
      <c r="F81" s="10" t="n"/>
      <c r="G81" s="13">
        <f>IF(N(D81)*N(F81)=0,"",D81*F81)</f>
        <v/>
      </c>
    </row>
    <row r="82">
      <c r="A82" s="8" t="n"/>
      <c r="B82" s="8" t="n"/>
      <c r="C82" s="8" t="n"/>
      <c r="D82" s="9" t="n"/>
      <c r="E82" s="8" t="n"/>
      <c r="F82" s="10" t="n"/>
      <c r="G82" s="13">
        <f>IF(N(D82)*N(F82)=0,"",D82*F82)</f>
        <v/>
      </c>
    </row>
    <row r="83">
      <c r="A83" s="8" t="n"/>
      <c r="B83" s="8" t="n"/>
      <c r="C83" s="8" t="n"/>
      <c r="D83" s="9" t="n"/>
      <c r="E83" s="8" t="n"/>
      <c r="F83" s="10" t="n"/>
      <c r="G83" s="13">
        <f>IF(N(D83)*N(F83)=0,"",D83*F83)</f>
        <v/>
      </c>
    </row>
    <row r="84">
      <c r="A84" s="8" t="n"/>
      <c r="B84" s="8" t="n"/>
      <c r="C84" s="8" t="n"/>
      <c r="D84" s="9" t="n"/>
      <c r="E84" s="8" t="n"/>
      <c r="F84" s="10" t="n"/>
      <c r="G84" s="13">
        <f>IF(N(D84)*N(F84)=0,"",D84*F84)</f>
        <v/>
      </c>
    </row>
    <row r="85">
      <c r="A85" s="8" t="n"/>
      <c r="B85" s="8" t="n"/>
      <c r="C85" s="8" t="n"/>
      <c r="D85" s="9" t="n"/>
      <c r="E85" s="8" t="n"/>
      <c r="F85" s="10" t="n"/>
      <c r="G85" s="13">
        <f>IF(N(D85)*N(F85)=0,"",D85*F85)</f>
        <v/>
      </c>
    </row>
    <row r="86">
      <c r="A86" s="8" t="n"/>
      <c r="B86" s="8" t="n"/>
      <c r="C86" s="8" t="n"/>
      <c r="D86" s="9" t="n"/>
      <c r="E86" s="8" t="n"/>
      <c r="F86" s="10" t="n"/>
      <c r="G86" s="13">
        <f>IF(N(D86)*N(F86)=0,"",D86*F86)</f>
        <v/>
      </c>
    </row>
    <row r="87">
      <c r="A87" s="8" t="n"/>
      <c r="B87" s="8" t="n"/>
      <c r="C87" s="8" t="n"/>
      <c r="D87" s="9" t="n"/>
      <c r="E87" s="8" t="n"/>
      <c r="F87" s="10" t="n"/>
      <c r="G87" s="13">
        <f>IF(N(D87)*N(F87)=0,"",D87*F87)</f>
        <v/>
      </c>
    </row>
    <row r="88">
      <c r="A88" s="8" t="n"/>
      <c r="B88" s="8" t="n"/>
      <c r="C88" s="8" t="n"/>
      <c r="D88" s="9" t="n"/>
      <c r="E88" s="8" t="n"/>
      <c r="F88" s="10" t="n"/>
      <c r="G88" s="13">
        <f>IF(N(D88)*N(F88)=0,"",D88*F88)</f>
        <v/>
      </c>
    </row>
    <row r="89">
      <c r="A89" s="8" t="n"/>
      <c r="B89" s="8" t="n"/>
      <c r="C89" s="8" t="n"/>
      <c r="D89" s="9" t="n"/>
      <c r="E89" s="8" t="n"/>
      <c r="F89" s="10" t="n"/>
      <c r="G89" s="13">
        <f>IF(N(D89)*N(F89)=0,"",D89*F89)</f>
        <v/>
      </c>
    </row>
    <row r="90">
      <c r="A90" s="8" t="n"/>
      <c r="B90" s="8" t="n"/>
      <c r="C90" s="8" t="n"/>
      <c r="D90" s="9" t="n"/>
      <c r="E90" s="8" t="n"/>
      <c r="F90" s="10" t="n"/>
      <c r="G90" s="13">
        <f>IF(N(D90)*N(F90)=0,"",D90*F90)</f>
        <v/>
      </c>
    </row>
    <row r="91">
      <c r="A91" s="8" t="n"/>
      <c r="B91" s="8" t="n"/>
      <c r="C91" s="8" t="n"/>
      <c r="D91" s="9" t="n"/>
      <c r="E91" s="8" t="n"/>
      <c r="F91" s="10" t="n"/>
      <c r="G91" s="13">
        <f>IF(N(D91)*N(F91)=0,"",D91*F91)</f>
        <v/>
      </c>
    </row>
    <row r="92">
      <c r="A92" s="8" t="n"/>
      <c r="B92" s="8" t="n"/>
      <c r="C92" s="8" t="n"/>
      <c r="D92" s="9" t="n"/>
      <c r="E92" s="8" t="n"/>
      <c r="F92" s="10" t="n"/>
      <c r="G92" s="13">
        <f>IF(N(D92)*N(F92)=0,"",D92*F92)</f>
        <v/>
      </c>
    </row>
    <row r="93">
      <c r="A93" s="8" t="n"/>
      <c r="B93" s="8" t="n"/>
      <c r="C93" s="8" t="n"/>
      <c r="D93" s="9" t="n"/>
      <c r="E93" s="8" t="n"/>
      <c r="F93" s="10" t="n"/>
      <c r="G93" s="13">
        <f>IF(N(D93)*N(F93)=0,"",D93*F93)</f>
        <v/>
      </c>
    </row>
    <row r="94">
      <c r="A94" s="8" t="n"/>
      <c r="B94" s="8" t="n"/>
      <c r="C94" s="8" t="n"/>
      <c r="D94" s="9" t="n"/>
      <c r="E94" s="8" t="n"/>
      <c r="F94" s="10" t="n"/>
      <c r="G94" s="13">
        <f>IF(N(D94)*N(F94)=0,"",D94*F94)</f>
        <v/>
      </c>
    </row>
    <row r="95">
      <c r="A95" s="8" t="n"/>
      <c r="B95" s="8" t="n"/>
      <c r="C95" s="8" t="n"/>
      <c r="D95" s="9" t="n"/>
      <c r="E95" s="8" t="n"/>
      <c r="F95" s="10" t="n"/>
      <c r="G95" s="13">
        <f>IF(N(D95)*N(F95)=0,"",D95*F95)</f>
        <v/>
      </c>
    </row>
    <row r="96">
      <c r="A96" s="8" t="n"/>
      <c r="B96" s="8" t="n"/>
      <c r="C96" s="8" t="n"/>
      <c r="D96" s="9" t="n"/>
      <c r="E96" s="8" t="n"/>
      <c r="F96" s="10" t="n"/>
      <c r="G96" s="13">
        <f>IF(N(D96)*N(F96)=0,"",D96*F96)</f>
        <v/>
      </c>
    </row>
    <row r="97">
      <c r="A97" s="8" t="n"/>
      <c r="B97" s="8" t="n"/>
      <c r="C97" s="8" t="n"/>
      <c r="D97" s="9" t="n"/>
      <c r="E97" s="8" t="n"/>
      <c r="F97" s="10" t="n"/>
      <c r="G97" s="13">
        <f>IF(N(D97)*N(F97)=0,"",D97*F97)</f>
        <v/>
      </c>
    </row>
    <row r="98">
      <c r="A98" s="8" t="n"/>
      <c r="B98" s="8" t="n"/>
      <c r="C98" s="8" t="n"/>
      <c r="D98" s="9" t="n"/>
      <c r="E98" s="8" t="n"/>
      <c r="F98" s="10" t="n"/>
      <c r="G98" s="13">
        <f>IF(N(D98)*N(F98)=0,"",D98*F98)</f>
        <v/>
      </c>
    </row>
    <row r="99">
      <c r="A99" s="8" t="n"/>
      <c r="B99" s="8" t="n"/>
      <c r="C99" s="8" t="n"/>
      <c r="D99" s="9" t="n"/>
      <c r="E99" s="8" t="n"/>
      <c r="F99" s="10" t="n"/>
      <c r="G99" s="13">
        <f>IF(N(D99)*N(F99)=0,"",D99*F99)</f>
        <v/>
      </c>
    </row>
    <row r="100">
      <c r="A100" s="8" t="n"/>
      <c r="B100" s="8" t="n"/>
      <c r="C100" s="8" t="n"/>
      <c r="D100" s="9" t="n"/>
      <c r="E100" s="8" t="n"/>
      <c r="F100" s="10" t="n"/>
      <c r="G100" s="13">
        <f>IF(N(D100)*N(F100)=0,"",D100*F100)</f>
        <v/>
      </c>
    </row>
    <row r="101">
      <c r="A101" s="8" t="n"/>
      <c r="B101" s="8" t="n"/>
      <c r="C101" s="8" t="n"/>
      <c r="D101" s="9" t="n"/>
      <c r="E101" s="8" t="n"/>
      <c r="F101" s="10" t="n"/>
      <c r="G101" s="13">
        <f>IF(N(D101)*N(F101)=0,"",D101*F101)</f>
        <v/>
      </c>
    </row>
    <row r="102">
      <c r="A102" s="8" t="n"/>
      <c r="B102" s="8" t="n"/>
      <c r="C102" s="8" t="n"/>
      <c r="D102" s="9" t="n"/>
      <c r="E102" s="8" t="n"/>
      <c r="F102" s="10" t="n"/>
      <c r="G102" s="13">
        <f>IF(N(D102)*N(F102)=0,"",D102*F102)</f>
        <v/>
      </c>
    </row>
    <row r="103">
      <c r="A103" s="8" t="n"/>
      <c r="B103" s="8" t="n"/>
      <c r="C103" s="8" t="n"/>
      <c r="D103" s="9" t="n"/>
      <c r="E103" s="8" t="n"/>
      <c r="F103" s="10" t="n"/>
      <c r="G103" s="13">
        <f>IF(N(D103)*N(F103)=0,"",D103*F103)</f>
        <v/>
      </c>
    </row>
    <row r="104">
      <c r="A104" s="8" t="n"/>
      <c r="B104" s="8" t="n"/>
      <c r="C104" s="8" t="n"/>
      <c r="D104" s="9" t="n"/>
      <c r="E104" s="8" t="n"/>
      <c r="F104" s="10" t="n"/>
      <c r="G104" s="13">
        <f>IF(N(D104)*N(F104)=0,"",D104*F104)</f>
        <v/>
      </c>
    </row>
    <row r="105">
      <c r="A105" s="8" t="n"/>
      <c r="B105" s="8" t="n"/>
      <c r="C105" s="8" t="n"/>
      <c r="D105" s="9" t="n"/>
      <c r="E105" s="8" t="n"/>
      <c r="F105" s="10" t="n"/>
      <c r="G105" s="13">
        <f>IF(N(D105)*N(F105)=0,"",D105*F105)</f>
        <v/>
      </c>
    </row>
    <row r="106">
      <c r="A106" s="8" t="n"/>
      <c r="B106" s="8" t="n"/>
      <c r="C106" s="8" t="n"/>
      <c r="D106" s="9" t="n"/>
      <c r="E106" s="8" t="n"/>
      <c r="F106" s="10" t="n"/>
      <c r="G106" s="13">
        <f>IF(N(D106)*N(F106)=0,"",D106*F106)</f>
        <v/>
      </c>
    </row>
    <row r="107">
      <c r="A107" s="8" t="n"/>
      <c r="B107" s="8" t="n"/>
      <c r="C107" s="8" t="n"/>
      <c r="D107" s="9" t="n"/>
      <c r="E107" s="8" t="n"/>
      <c r="F107" s="10" t="n"/>
      <c r="G107" s="13">
        <f>IF(N(D107)*N(F107)=0,"",D107*F107)</f>
        <v/>
      </c>
    </row>
    <row r="108">
      <c r="A108" s="8" t="n"/>
      <c r="B108" s="8" t="n"/>
      <c r="C108" s="8" t="n"/>
      <c r="D108" s="9" t="n"/>
      <c r="E108" s="8" t="n"/>
      <c r="F108" s="10" t="n"/>
      <c r="G108" s="13">
        <f>IF(N(D108)*N(F108)=0,"",D108*F108)</f>
        <v/>
      </c>
    </row>
    <row r="109">
      <c r="A109" s="8" t="n"/>
      <c r="B109" s="8" t="n"/>
      <c r="C109" s="8" t="n"/>
      <c r="D109" s="9" t="n"/>
      <c r="E109" s="8" t="n"/>
      <c r="F109" s="10" t="n"/>
      <c r="G109" s="13">
        <f>IF(N(D109)*N(F109)=0,"",D109*F109)</f>
        <v/>
      </c>
    </row>
    <row r="110">
      <c r="A110" s="8" t="n"/>
      <c r="B110" s="8" t="n"/>
      <c r="C110" s="8" t="n"/>
      <c r="D110" s="9" t="n"/>
      <c r="E110" s="8" t="n"/>
      <c r="F110" s="10" t="n"/>
      <c r="G110" s="13">
        <f>IF(N(D110)*N(F110)=0,"",D110*F110)</f>
        <v/>
      </c>
    </row>
    <row r="111">
      <c r="A111" s="8" t="n"/>
      <c r="B111" s="8" t="n"/>
      <c r="C111" s="8" t="n"/>
      <c r="D111" s="9" t="n"/>
      <c r="E111" s="8" t="n"/>
      <c r="F111" s="10" t="n"/>
      <c r="G111" s="13">
        <f>IF(N(D111)*N(F111)=0,"",D111*F111)</f>
        <v/>
      </c>
    </row>
    <row r="112">
      <c r="A112" s="8" t="n"/>
      <c r="B112" s="8" t="n"/>
      <c r="C112" s="8" t="n"/>
      <c r="D112" s="9" t="n"/>
      <c r="E112" s="8" t="n"/>
      <c r="F112" s="10" t="n"/>
      <c r="G112" s="13">
        <f>IF(N(D112)*N(F112)=0,"",D112*F112)</f>
        <v/>
      </c>
    </row>
    <row r="113">
      <c r="A113" s="8" t="n"/>
      <c r="B113" s="8" t="n"/>
      <c r="C113" s="8" t="n"/>
      <c r="D113" s="9" t="n"/>
      <c r="E113" s="8" t="n"/>
      <c r="F113" s="10" t="n"/>
      <c r="G113" s="13">
        <f>IF(N(D113)*N(F113)=0,"",D113*F113)</f>
        <v/>
      </c>
    </row>
    <row r="114">
      <c r="A114" s="8" t="n"/>
      <c r="B114" s="8" t="n"/>
      <c r="C114" s="8" t="n"/>
      <c r="D114" s="9" t="n"/>
      <c r="E114" s="8" t="n"/>
      <c r="F114" s="10" t="n"/>
      <c r="G114" s="13">
        <f>IF(N(D114)*N(F114)=0,"",D114*F114)</f>
        <v/>
      </c>
    </row>
    <row r="115">
      <c r="A115" s="8" t="n"/>
      <c r="B115" s="8" t="n"/>
      <c r="C115" s="8" t="n"/>
      <c r="D115" s="9" t="n"/>
      <c r="E115" s="8" t="n"/>
      <c r="F115" s="10" t="n"/>
      <c r="G115" s="13">
        <f>IF(N(D115)*N(F115)=0,"",D115*F115)</f>
        <v/>
      </c>
    </row>
    <row r="116">
      <c r="A116" s="8" t="n"/>
      <c r="B116" s="8" t="n"/>
      <c r="C116" s="8" t="n"/>
      <c r="D116" s="9" t="n"/>
      <c r="E116" s="8" t="n"/>
      <c r="F116" s="10" t="n"/>
      <c r="G116" s="13">
        <f>IF(N(D116)*N(F116)=0,"",D116*F116)</f>
        <v/>
      </c>
    </row>
    <row r="117">
      <c r="A117" s="8" t="n"/>
      <c r="B117" s="8" t="n"/>
      <c r="C117" s="8" t="n"/>
      <c r="D117" s="9" t="n"/>
      <c r="E117" s="8" t="n"/>
      <c r="F117" s="10" t="n"/>
      <c r="G117" s="13">
        <f>IF(N(D117)*N(F117)=0,"",D117*F117)</f>
        <v/>
      </c>
    </row>
    <row r="118">
      <c r="A118" s="8" t="n"/>
      <c r="B118" s="8" t="n"/>
      <c r="C118" s="8" t="n"/>
      <c r="D118" s="9" t="n"/>
      <c r="E118" s="8" t="n"/>
      <c r="F118" s="10" t="n"/>
      <c r="G118" s="13">
        <f>IF(N(D118)*N(F118)=0,"",D118*F118)</f>
        <v/>
      </c>
    </row>
    <row r="119">
      <c r="A119" s="8" t="n"/>
      <c r="B119" s="8" t="n"/>
      <c r="C119" s="8" t="n"/>
      <c r="D119" s="9" t="n"/>
      <c r="E119" s="8" t="n"/>
      <c r="F119" s="10" t="n"/>
      <c r="G119" s="13">
        <f>IF(N(D119)*N(F119)=0,"",D119*F119)</f>
        <v/>
      </c>
    </row>
    <row r="120">
      <c r="A120" s="8" t="n"/>
      <c r="B120" s="8" t="n"/>
      <c r="C120" s="8" t="n"/>
      <c r="D120" s="9" t="n"/>
      <c r="E120" s="8" t="n"/>
      <c r="F120" s="10" t="n"/>
      <c r="G120" s="13">
        <f>IF(N(D120)*N(F120)=0,"",D120*F120)</f>
        <v/>
      </c>
    </row>
    <row r="121">
      <c r="A121" s="8" t="n"/>
      <c r="B121" s="8" t="n"/>
      <c r="C121" s="8" t="n"/>
      <c r="D121" s="9" t="n"/>
      <c r="E121" s="8" t="n"/>
      <c r="F121" s="10" t="n"/>
      <c r="G121" s="13">
        <f>IF(N(D121)*N(F121)=0,"",D121*F121)</f>
        <v/>
      </c>
    </row>
    <row r="122">
      <c r="A122" s="8" t="n"/>
      <c r="B122" s="8" t="n"/>
      <c r="C122" s="8" t="n"/>
      <c r="D122" s="9" t="n"/>
      <c r="E122" s="8" t="n"/>
      <c r="F122" s="10" t="n"/>
      <c r="G122" s="13">
        <f>IF(N(D122)*N(F122)=0,"",D122*F122)</f>
        <v/>
      </c>
    </row>
    <row r="123">
      <c r="A123" s="8" t="n"/>
      <c r="B123" s="8" t="n"/>
      <c r="C123" s="8" t="n"/>
      <c r="D123" s="9" t="n"/>
      <c r="E123" s="8" t="n"/>
      <c r="F123" s="10" t="n"/>
      <c r="G123" s="13">
        <f>IF(N(D123)*N(F123)=0,"",D123*F123)</f>
        <v/>
      </c>
    </row>
    <row r="124">
      <c r="A124" s="8" t="n"/>
      <c r="B124" s="8" t="n"/>
      <c r="C124" s="8" t="n"/>
      <c r="D124" s="9" t="n"/>
      <c r="E124" s="8" t="n"/>
      <c r="F124" s="10" t="n"/>
      <c r="G124" s="13">
        <f>IF(N(D124)*N(F124)=0,"",D124*F124)</f>
        <v/>
      </c>
    </row>
    <row r="125">
      <c r="A125" s="8" t="n"/>
      <c r="B125" s="8" t="n"/>
      <c r="C125" s="8" t="n"/>
      <c r="D125" s="9" t="n"/>
      <c r="E125" s="8" t="n"/>
      <c r="F125" s="10" t="n"/>
      <c r="G125" s="13">
        <f>IF(N(D125)*N(F125)=0,"",D125*F125)</f>
        <v/>
      </c>
    </row>
    <row r="127" ht="22" customHeight="1">
      <c r="F127" s="14" t="inlineStr">
        <is>
          <t>TOTAL MERMA</t>
        </is>
      </c>
      <c r="G127" s="15">
        <f>SUM(G6:G125)</f>
        <v/>
      </c>
    </row>
    <row r="129">
      <c r="A129" s="16" t="inlineStr">
        <is>
          <t>El coste unidad de un producto con merma de limpieza es el del kilo util (columna G de RENDIMIENTO), no el del albaran.</t>
        </is>
      </c>
    </row>
  </sheetData>
  <mergeCells count="3">
    <mergeCell ref="A129:G129"/>
    <mergeCell ref="A2:G2"/>
    <mergeCell ref="A1:G1"/>
  </mergeCells>
  <dataValidations count="1">
    <dataValidation sqref="E6:E125" showDropDown="0" showInputMessage="0" showErrorMessage="0" allowBlank="1" type="list">
      <formula1>"Caducado,Mal conservado,Error de cocina,Rotura,Devuelto por cliente,Comida de personal,Prueba o cata"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showGridLines="0" workbookViewId="0">
      <selection activeCell="A1" sqref="A1"/>
    </sheetView>
  </sheetViews>
  <sheetFormatPr baseColWidth="8" defaultRowHeight="15"/>
  <cols>
    <col width="4" customWidth="1" min="1" max="1"/>
    <col width="26" customWidth="1" min="2" max="2"/>
    <col width="15" customWidth="1" min="3" max="3"/>
    <col width="13" customWidth="1" min="4" max="4"/>
    <col width="66" customWidth="1" min="5" max="5"/>
  </cols>
  <sheetData>
    <row r="1" ht="26" customHeight="1">
      <c r="A1" s="1" t="inlineStr">
        <is>
          <t>Donde se te va</t>
        </is>
      </c>
    </row>
    <row r="2">
      <c r="A2" s="2" t="inlineStr">
        <is>
          <t>No se toca: se lee.</t>
        </is>
      </c>
    </row>
    <row r="3" ht="6" customHeight="1"/>
    <row r="5">
      <c r="B5" s="3" t="inlineStr">
        <is>
          <t>Por motivo</t>
        </is>
      </c>
    </row>
    <row r="6" ht="30" customHeight="1">
      <c r="A6" s="7" t="inlineStr"/>
      <c r="B6" s="7" t="inlineStr">
        <is>
          <t>Motivo</t>
        </is>
      </c>
      <c r="C6" s="7" t="inlineStr">
        <is>
          <t>Euros</t>
        </is>
      </c>
      <c r="D6" s="7" t="inlineStr">
        <is>
          <t>% del total</t>
        </is>
      </c>
      <c r="E6" s="7" t="inlineStr">
        <is>
          <t>Que significa</t>
        </is>
      </c>
    </row>
    <row r="7" ht="28" customHeight="1">
      <c r="B7" s="17" t="inlineStr">
        <is>
          <t>Caducado</t>
        </is>
      </c>
      <c r="C7" s="12">
        <f>SUMIF('PARTE DIARIO'!$E$6:$E$125,B7,'PARTE DIARIO'!$G$6:$G$125)</f>
        <v/>
      </c>
      <c r="D7" s="11">
        <f>IF('PARTE DIARIO'!$G$127=0,"",C7/'PARTE DIARIO'!$G$127)</f>
        <v/>
      </c>
      <c r="E7" s="18" t="inlineStr">
        <is>
          <t>Compras de mas o rotas mal el genero. Mira el inventario antes de pedir.</t>
        </is>
      </c>
    </row>
    <row r="8" ht="28" customHeight="1">
      <c r="B8" s="17" t="inlineStr">
        <is>
          <t>Mal conservado</t>
        </is>
      </c>
      <c r="C8" s="12">
        <f>SUMIF('PARTE DIARIO'!$E$6:$E$125,B8,'PARTE DIARIO'!$G$6:$G$125)</f>
        <v/>
      </c>
      <c r="D8" s="11">
        <f>IF('PARTE DIARIO'!$G$127=0,"",C8/'PARTE DIARIO'!$G$127)</f>
        <v/>
      </c>
      <c r="E8" s="18" t="inlineStr">
        <is>
          <t>Cadena de frio o tapado. Es el mas caro y el mas facil de corregir.</t>
        </is>
      </c>
    </row>
    <row r="9" ht="28" customHeight="1">
      <c r="B9" s="17" t="inlineStr">
        <is>
          <t>Error de cocina</t>
        </is>
      </c>
      <c r="C9" s="12">
        <f>SUMIF('PARTE DIARIO'!$E$6:$E$125,B9,'PARTE DIARIO'!$G$6:$G$125)</f>
        <v/>
      </c>
      <c r="D9" s="11">
        <f>IF('PARTE DIARIO'!$G$127=0,"",C9/'PARTE DIARIO'!$G$127)</f>
        <v/>
      </c>
      <c r="E9" s="18" t="inlineStr">
        <is>
          <t>Formacion o ficha tecnica. Si se repite el mismo plato, es la receta.</t>
        </is>
      </c>
    </row>
    <row r="10" ht="28" customHeight="1">
      <c r="B10" s="17" t="inlineStr">
        <is>
          <t>Rotura</t>
        </is>
      </c>
      <c r="C10" s="12">
        <f>SUMIF('PARTE DIARIO'!$E$6:$E$125,B10,'PARTE DIARIO'!$G$6:$G$125)</f>
        <v/>
      </c>
      <c r="D10" s="11">
        <f>IF('PARTE DIARIO'!$G$127=0,"",C10/'PARTE DIARIO'!$G$127)</f>
        <v/>
      </c>
      <c r="E10" s="18" t="inlineStr">
        <is>
          <t>Manipulacion o material. Si sube en fin de semana, es prisa.</t>
        </is>
      </c>
    </row>
    <row r="11" ht="28" customHeight="1">
      <c r="B11" s="17" t="inlineStr">
        <is>
          <t>Devuelto por cliente</t>
        </is>
      </c>
      <c r="C11" s="12">
        <f>SUMIF('PARTE DIARIO'!$E$6:$E$125,B11,'PARTE DIARIO'!$G$6:$G$125)</f>
        <v/>
      </c>
      <c r="D11" s="11">
        <f>IF('PARTE DIARIO'!$G$127=0,"",C11/'PARTE DIARIO'!$G$127)</f>
        <v/>
      </c>
      <c r="E11" s="18" t="inlineStr">
        <is>
          <t>Mira si se concentra en un plato: ahi tienes un problema de carta.</t>
        </is>
      </c>
    </row>
    <row r="12" ht="28" customHeight="1">
      <c r="B12" s="17" t="inlineStr">
        <is>
          <t>Comida de personal</t>
        </is>
      </c>
      <c r="C12" s="12">
        <f>SUMIF('PARTE DIARIO'!$E$6:$E$125,B12,'PARTE DIARIO'!$G$6:$G$125)</f>
        <v/>
      </c>
      <c r="D12" s="11">
        <f>IF('PARTE DIARIO'!$G$127=0,"",C12/'PARTE DIARIO'!$G$127)</f>
        <v/>
      </c>
      <c r="E12" s="18" t="inlineStr">
        <is>
          <t>No es merma si esta prevista. Si no lo esta, es un coste oculto.</t>
        </is>
      </c>
    </row>
    <row r="13" ht="28" customHeight="1">
      <c r="B13" s="17" t="inlineStr">
        <is>
          <t>Prueba o cata</t>
        </is>
      </c>
      <c r="C13" s="12">
        <f>SUMIF('PARTE DIARIO'!$E$6:$E$125,B13,'PARTE DIARIO'!$G$6:$G$125)</f>
        <v/>
      </c>
      <c r="D13" s="11">
        <f>IF('PARTE DIARIO'!$G$127=0,"",C13/'PARTE DIARIO'!$G$127)</f>
        <v/>
      </c>
      <c r="E13" s="18" t="inlineStr">
        <is>
          <t>Inversion, no perdida. Pero se cuenta igual.</t>
        </is>
      </c>
    </row>
    <row r="16">
      <c r="B16" s="3" t="inlineStr">
        <is>
          <t>La merma sobre tus ventas</t>
        </is>
      </c>
    </row>
    <row r="17" ht="26" customHeight="1">
      <c r="B17" s="17" t="inlineStr">
        <is>
          <t>Merma del periodo</t>
        </is>
      </c>
      <c r="C17" s="19">
        <f>'PARTE DIARIO'!G127</f>
        <v/>
      </c>
      <c r="E17" s="2" t="inlineStr">
        <is>
          <t>Sale sola del parte.</t>
        </is>
      </c>
    </row>
    <row r="18" ht="26" customHeight="1">
      <c r="B18" s="17" t="inlineStr">
        <is>
          <t>Venta del periodo (sin IVA)</t>
        </is>
      </c>
      <c r="C18" s="20" t="n">
        <v>0</v>
      </c>
      <c r="E18" s="2" t="inlineStr">
        <is>
          <t>La pones tu, del TPV.</t>
        </is>
      </c>
    </row>
    <row r="19" ht="26" customHeight="1">
      <c r="B19" s="21" t="inlineStr">
        <is>
          <t>Merma sobre venta</t>
        </is>
      </c>
      <c r="C19" s="22">
        <f>IF(N(C18)=0,"",C17/C18)</f>
        <v/>
      </c>
      <c r="E19" s="2" t="inlineStr">
        <is>
          <t>El numero que se compara mes a mes.</t>
        </is>
      </c>
    </row>
    <row r="22">
      <c r="B22" s="3" t="inlineStr">
        <is>
          <t>Como se lee</t>
        </is>
      </c>
    </row>
    <row r="23" ht="38" customHeight="1">
      <c r="B23" s="23" t="inlineStr">
        <is>
          <t>Por debajo del 1 %</t>
        </is>
      </c>
      <c r="C23" s="24" t="n"/>
      <c r="D23" s="25" t="n"/>
      <c r="E23" s="26" t="inlineStr">
        <is>
          <t>Estas bien. Sigue apuntando para que siga asi.</t>
        </is>
      </c>
    </row>
    <row r="24" ht="38" customHeight="1">
      <c r="B24" s="27" t="inlineStr">
        <is>
          <t>Entre el 1 y el 3 %</t>
        </is>
      </c>
      <c r="C24" s="24" t="n"/>
      <c r="D24" s="25" t="n"/>
      <c r="E24" s="26" t="inlineStr">
        <is>
          <t>Lo normal en un local que no la vigila. Ataca el motivo que mas pese: casi siempre es caducado, y casi siempre se arregla pidiendo menos y mas veces.</t>
        </is>
      </c>
    </row>
    <row r="25" ht="38" customHeight="1">
      <c r="B25" s="28" t="inlineStr">
        <is>
          <t>Por encima del 3 %</t>
        </is>
      </c>
      <c r="C25" s="24" t="n"/>
      <c r="D25" s="25" t="n"/>
      <c r="E25" s="26" t="inlineStr">
        <is>
          <t>Ahi tienes el margen que echas de menos. Con una venta de 30.000 al mes, cada punto de merma son 300 euros que se van a la basura todos los meses.</t>
        </is>
      </c>
    </row>
  </sheetData>
  <mergeCells count="5">
    <mergeCell ref="A2:E2"/>
    <mergeCell ref="B23:D23"/>
    <mergeCell ref="A1:E1"/>
    <mergeCell ref="B25:D25"/>
    <mergeCell ref="B24:D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showGridLines="0" workbookViewId="0">
      <pane ySplit="5" topLeftCell="A6" activePane="bottomLeft" state="frozen"/>
      <selection pane="bottomLeft" activeCell="A1" sqref="A1"/>
    </sheetView>
  </sheetViews>
  <sheetFormatPr baseColWidth="8" defaultRowHeight="15"/>
  <cols>
    <col width="34" customWidth="1" min="1" max="1"/>
    <col width="11" customWidth="1" min="2" max="2"/>
    <col width="13" customWidth="1" min="3" max="3"/>
    <col width="13" customWidth="1" min="4" max="4"/>
    <col width="16" customWidth="1" min="5" max="5"/>
    <col width="13" customWidth="1" min="6" max="6"/>
    <col width="17" customWidth="1" min="7" max="7"/>
    <col width="13" customWidth="1" min="8" max="8"/>
  </cols>
  <sheetData>
    <row r="1" ht="26" customHeight="1">
      <c r="A1" s="1" t="inlineStr">
        <is>
          <t>Rendimiento por producto</t>
        </is>
      </c>
    </row>
    <row r="2">
      <c r="A2" s="2" t="inlineStr">
        <is>
          <t>Se mide una vez. El coste del kilo util es el que va al escandallo.</t>
        </is>
      </c>
    </row>
    <row r="3" ht="6" customHeight="1"/>
    <row r="5" ht="30" customHeight="1">
      <c r="A5" s="7" t="inlineStr">
        <is>
          <t>Producto</t>
        </is>
      </c>
      <c r="B5" s="7" t="inlineStr">
        <is>
          <t>Unidad</t>
        </is>
      </c>
      <c r="C5" s="7" t="inlineStr">
        <is>
          <t>Peso bruto</t>
        </is>
      </c>
      <c r="D5" s="7" t="inlineStr">
        <is>
          <t>Peso limpio</t>
        </is>
      </c>
      <c r="E5" s="7" t="inlineStr">
        <is>
          <t>Coste del bruto</t>
        </is>
      </c>
      <c r="F5" s="7" t="inlineStr">
        <is>
          <t>Rendimiento</t>
        </is>
      </c>
      <c r="G5" s="7" t="inlineStr">
        <is>
          <t>Coste del kilo util</t>
        </is>
      </c>
      <c r="H5" s="7" t="inlineStr">
        <is>
          <t>Sobrecoste</t>
        </is>
      </c>
    </row>
    <row r="6">
      <c r="A6" s="8" t="inlineStr">
        <is>
          <t>Merluza del pincho</t>
        </is>
      </c>
      <c r="B6" s="8" t="inlineStr">
        <is>
          <t>kg</t>
        </is>
      </c>
      <c r="C6" s="9" t="n">
        <v>1</v>
      </c>
      <c r="D6" s="9" t="n">
        <v>0.62</v>
      </c>
      <c r="E6" s="10" t="n">
        <v>14.8</v>
      </c>
      <c r="F6" s="11">
        <f>IF(N(C6)=0,"",D6/C6)</f>
        <v/>
      </c>
      <c r="G6" s="12">
        <f>IF(N(D6)=0,"",E6/(D6/C6))</f>
        <v/>
      </c>
      <c r="H6" s="11">
        <f>IF(N(E6)=0,"",(G6-E6)/E6)</f>
        <v/>
      </c>
    </row>
    <row r="7">
      <c r="A7" s="8" t="inlineStr">
        <is>
          <t>Solomillo de ternera</t>
        </is>
      </c>
      <c r="B7" s="8" t="inlineStr">
        <is>
          <t>kg</t>
        </is>
      </c>
      <c r="C7" s="9" t="n">
        <v>1</v>
      </c>
      <c r="D7" s="9" t="n">
        <v>0.85</v>
      </c>
      <c r="E7" s="10" t="n">
        <v>18.9</v>
      </c>
      <c r="F7" s="11">
        <f>IF(N(C7)=0,"",D7/C7)</f>
        <v/>
      </c>
      <c r="G7" s="12">
        <f>IF(N(D7)=0,"",E7/(D7/C7))</f>
        <v/>
      </c>
      <c r="H7" s="11">
        <f>IF(N(E7)=0,"",(G7-E7)/E7)</f>
        <v/>
      </c>
    </row>
    <row r="8">
      <c r="A8" s="8" t="inlineStr">
        <is>
          <t>Pulpo cocido</t>
        </is>
      </c>
      <c r="B8" s="8" t="inlineStr">
        <is>
          <t>kg</t>
        </is>
      </c>
      <c r="C8" s="9" t="n">
        <v>1</v>
      </c>
      <c r="D8" s="9" t="n">
        <v>0.78</v>
      </c>
      <c r="E8" s="10" t="n">
        <v>22</v>
      </c>
      <c r="F8" s="11">
        <f>IF(N(C8)=0,"",D8/C8)</f>
        <v/>
      </c>
      <c r="G8" s="12">
        <f>IF(N(D8)=0,"",E8/(D8/C8))</f>
        <v/>
      </c>
      <c r="H8" s="11">
        <f>IF(N(E8)=0,"",(G8-E8)/E8)</f>
        <v/>
      </c>
    </row>
    <row r="9">
      <c r="A9" s="8" t="inlineStr">
        <is>
          <t>Alcachofa fresca</t>
        </is>
      </c>
      <c r="B9" s="8" t="inlineStr">
        <is>
          <t>kg</t>
        </is>
      </c>
      <c r="C9" s="9" t="n">
        <v>1</v>
      </c>
      <c r="D9" s="9" t="n">
        <v>0.38</v>
      </c>
      <c r="E9" s="10" t="n">
        <v>4.6</v>
      </c>
      <c r="F9" s="11">
        <f>IF(N(C9)=0,"",D9/C9)</f>
        <v/>
      </c>
      <c r="G9" s="12">
        <f>IF(N(D9)=0,"",E9/(D9/C9))</f>
        <v/>
      </c>
      <c r="H9" s="11">
        <f>IF(N(E9)=0,"",(G9-E9)/E9)</f>
        <v/>
      </c>
    </row>
    <row r="10">
      <c r="A10" s="8" t="inlineStr">
        <is>
          <t>Pina</t>
        </is>
      </c>
      <c r="B10" s="8" t="inlineStr">
        <is>
          <t>kg</t>
        </is>
      </c>
      <c r="C10" s="9" t="n">
        <v>1</v>
      </c>
      <c r="D10" s="9" t="n">
        <v>0.5</v>
      </c>
      <c r="E10" s="10" t="n">
        <v>1.95</v>
      </c>
      <c r="F10" s="11">
        <f>IF(N(C10)=0,"",D10/C10)</f>
        <v/>
      </c>
      <c r="G10" s="12">
        <f>IF(N(D10)=0,"",E10/(D10/C10))</f>
        <v/>
      </c>
      <c r="H10" s="11">
        <f>IF(N(E10)=0,"",(G10-E10)/E10)</f>
        <v/>
      </c>
    </row>
    <row r="11">
      <c r="A11" s="8" t="inlineStr">
        <is>
          <t>Lubina entera</t>
        </is>
      </c>
      <c r="B11" s="8" t="inlineStr">
        <is>
          <t>kg</t>
        </is>
      </c>
      <c r="C11" s="9" t="n">
        <v>1</v>
      </c>
      <c r="D11" s="9" t="n">
        <v>0.45</v>
      </c>
      <c r="E11" s="10" t="n">
        <v>12.5</v>
      </c>
      <c r="F11" s="11">
        <f>IF(N(C11)=0,"",D11/C11)</f>
        <v/>
      </c>
      <c r="G11" s="12">
        <f>IF(N(D11)=0,"",E11/(D11/C11))</f>
        <v/>
      </c>
      <c r="H11" s="11">
        <f>IF(N(E11)=0,"",(G11-E11)/E11)</f>
        <v/>
      </c>
    </row>
    <row r="12">
      <c r="A12" s="8" t="n"/>
      <c r="B12" s="8" t="n"/>
      <c r="C12" s="9" t="n"/>
      <c r="D12" s="9" t="n"/>
      <c r="E12" s="10" t="n"/>
      <c r="F12" s="11">
        <f>IF(N(C12)=0,"",D12/C12)</f>
        <v/>
      </c>
      <c r="G12" s="12">
        <f>IF(N(D12)=0,"",E12/(D12/C12))</f>
        <v/>
      </c>
      <c r="H12" s="11">
        <f>IF(N(E12)=0,"",(G12-E12)/E12)</f>
        <v/>
      </c>
    </row>
    <row r="13">
      <c r="A13" s="8" t="n"/>
      <c r="B13" s="8" t="n"/>
      <c r="C13" s="9" t="n"/>
      <c r="D13" s="9" t="n"/>
      <c r="E13" s="10" t="n"/>
      <c r="F13" s="11">
        <f>IF(N(C13)=0,"",D13/C13)</f>
        <v/>
      </c>
      <c r="G13" s="12">
        <f>IF(N(D13)=0,"",E13/(D13/C13))</f>
        <v/>
      </c>
      <c r="H13" s="11">
        <f>IF(N(E13)=0,"",(G13-E13)/E13)</f>
        <v/>
      </c>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showGridLines="0" workbookViewId="0">
      <pane ySplit="5" topLeftCell="A6" activePane="bottomLeft" state="frozen"/>
      <selection pane="bottomLeft" activeCell="A1" sqref="A1"/>
    </sheetView>
  </sheetViews>
  <sheetFormatPr baseColWidth="8" defaultRowHeight="15"/>
  <cols>
    <col width="13" customWidth="1" min="1" max="1"/>
    <col width="34" customWidth="1" min="2" max="2"/>
    <col width="11" customWidth="1" min="3" max="3"/>
    <col width="12" customWidth="1" min="4" max="4"/>
    <col width="22" customWidth="1" min="5" max="5"/>
    <col width="15" customWidth="1" min="6" max="6"/>
    <col width="14" customWidth="1" min="7" max="7"/>
  </cols>
  <sheetData>
    <row r="1" ht="26" customHeight="1">
      <c r="A1" s="1" t="inlineStr">
        <is>
          <t>Parte diario de mermas</t>
        </is>
      </c>
    </row>
    <row r="2">
      <c r="A2" s="2" t="inlineStr">
        <is>
          <t>Se rellena al cerrar. Si no hubo merma, se escribe cero.</t>
        </is>
      </c>
    </row>
    <row r="3" ht="6" customHeight="1"/>
    <row r="5" ht="30" customHeight="1">
      <c r="A5" s="7" t="inlineStr">
        <is>
          <t>Fecha</t>
        </is>
      </c>
      <c r="B5" s="7" t="inlineStr">
        <is>
          <t>Producto</t>
        </is>
      </c>
      <c r="C5" s="7" t="inlineStr">
        <is>
          <t>Unidad</t>
        </is>
      </c>
      <c r="D5" s="7" t="inlineStr">
        <is>
          <t>Cantidad</t>
        </is>
      </c>
      <c r="E5" s="7" t="inlineStr">
        <is>
          <t>Motivo</t>
        </is>
      </c>
      <c r="F5" s="7" t="inlineStr">
        <is>
          <t>Coste unidad</t>
        </is>
      </c>
      <c r="G5" s="7" t="inlineStr">
        <is>
          <t>Coste</t>
        </is>
      </c>
    </row>
    <row r="6">
      <c r="A6" s="8" t="inlineStr">
        <is>
          <t>2026-09-01</t>
        </is>
      </c>
      <c r="B6" s="8" t="inlineStr">
        <is>
          <t>Merluza del pincho</t>
        </is>
      </c>
      <c r="C6" s="8" t="inlineStr">
        <is>
          <t>kg</t>
        </is>
      </c>
      <c r="D6" s="9" t="n">
        <v>0.8</v>
      </c>
      <c r="E6" s="8" t="inlineStr">
        <is>
          <t>Mal conservado</t>
        </is>
      </c>
      <c r="F6" s="10" t="n">
        <v>23.87</v>
      </c>
      <c r="G6" s="13">
        <f>IF(N(D6)*N(F6)=0,"",D6*F6)</f>
        <v/>
      </c>
    </row>
    <row r="7">
      <c r="A7" s="8" t="inlineStr">
        <is>
          <t>2026-09-01</t>
        </is>
      </c>
      <c r="B7" s="8" t="inlineStr">
        <is>
          <t>Tomate rama</t>
        </is>
      </c>
      <c r="C7" s="8" t="inlineStr">
        <is>
          <t>kg</t>
        </is>
      </c>
      <c r="D7" s="9" t="n">
        <v>2</v>
      </c>
      <c r="E7" s="8" t="inlineStr">
        <is>
          <t>Caducado</t>
        </is>
      </c>
      <c r="F7" s="10" t="n">
        <v>1.85</v>
      </c>
      <c r="G7" s="13">
        <f>IF(N(D7)*N(F7)=0,"",D7*F7)</f>
        <v/>
      </c>
    </row>
    <row r="8">
      <c r="A8" s="8" t="inlineStr">
        <is>
          <t>2026-09-02</t>
        </is>
      </c>
      <c r="B8" s="8" t="inlineStr">
        <is>
          <t>Solomillo de ternera</t>
        </is>
      </c>
      <c r="C8" s="8" t="inlineStr">
        <is>
          <t>kg</t>
        </is>
      </c>
      <c r="D8" s="9" t="n">
        <v>0.3</v>
      </c>
      <c r="E8" s="8" t="inlineStr">
        <is>
          <t>Error de cocina</t>
        </is>
      </c>
      <c r="F8" s="10" t="n">
        <v>22.24</v>
      </c>
      <c r="G8" s="13">
        <f>IF(N(D8)*N(F8)=0,"",D8*F8)</f>
        <v/>
      </c>
    </row>
    <row r="9">
      <c r="A9" s="8" t="inlineStr">
        <is>
          <t>2026-09-02</t>
        </is>
      </c>
      <c r="B9" s="8" t="inlineStr">
        <is>
          <t>Pan de cristal</t>
        </is>
      </c>
      <c r="C9" s="8" t="inlineStr">
        <is>
          <t>unidad</t>
        </is>
      </c>
      <c r="D9" s="9" t="n">
        <v>6</v>
      </c>
      <c r="E9" s="8" t="inlineStr">
        <is>
          <t>Caducado</t>
        </is>
      </c>
      <c r="F9" s="10" t="n">
        <v>0.85</v>
      </c>
      <c r="G9" s="13">
        <f>IF(N(D9)*N(F9)=0,"",D9*F9)</f>
        <v/>
      </c>
    </row>
    <row r="10">
      <c r="A10" s="8" t="inlineStr">
        <is>
          <t>2026-09-03</t>
        </is>
      </c>
      <c r="B10" s="8" t="inlineStr">
        <is>
          <t>Vino tinto copa</t>
        </is>
      </c>
      <c r="C10" s="8" t="inlineStr">
        <is>
          <t>unidad</t>
        </is>
      </c>
      <c r="D10" s="9" t="n">
        <v>2</v>
      </c>
      <c r="E10" s="8" t="inlineStr">
        <is>
          <t>Devuelto por cliente</t>
        </is>
      </c>
      <c r="F10" s="10" t="n">
        <v>1.9</v>
      </c>
      <c r="G10" s="13">
        <f>IF(N(D10)*N(F10)=0,"",D10*F10)</f>
        <v/>
      </c>
    </row>
    <row r="11">
      <c r="A11" s="8" t="n"/>
      <c r="B11" s="8" t="n"/>
      <c r="C11" s="8" t="n"/>
      <c r="D11" s="9" t="n"/>
      <c r="E11" s="8" t="n"/>
      <c r="F11" s="10" t="n"/>
      <c r="G11" s="13">
        <f>IF(N(D11)*N(F11)=0,"",D11*F11)</f>
        <v/>
      </c>
    </row>
    <row r="12">
      <c r="A12" s="8" t="n"/>
      <c r="B12" s="8" t="n"/>
      <c r="C12" s="8" t="n"/>
      <c r="D12" s="9" t="n"/>
      <c r="E12" s="8" t="n"/>
      <c r="F12" s="10" t="n"/>
      <c r="G12" s="13">
        <f>IF(N(D12)*N(F12)=0,"",D12*F12)</f>
        <v/>
      </c>
    </row>
    <row r="13">
      <c r="A13" s="8" t="n"/>
      <c r="B13" s="8" t="n"/>
      <c r="C13" s="8" t="n"/>
      <c r="D13" s="9" t="n"/>
      <c r="E13" s="8" t="n"/>
      <c r="F13" s="10" t="n"/>
      <c r="G13" s="13">
        <f>IF(N(D13)*N(F13)=0,"",D13*F13)</f>
        <v/>
      </c>
    </row>
    <row r="15" ht="22" customHeight="1">
      <c r="F15" s="14" t="inlineStr">
        <is>
          <t>TOTAL MERMA</t>
        </is>
      </c>
      <c r="G15" s="15">
        <f>SUM(G6:G13)</f>
        <v/>
      </c>
    </row>
    <row r="17">
      <c r="A17" s="16" t="inlineStr">
        <is>
          <t>El coste unidad de un producto con merma de limpieza es el del kilo util (columna G de RENDIMIENTO), no el del albaran.</t>
        </is>
      </c>
    </row>
  </sheetData>
  <mergeCells count="3">
    <mergeCell ref="A2:G2"/>
    <mergeCell ref="A1:G1"/>
    <mergeCell ref="A17:G17"/>
  </mergeCells>
  <dataValidations count="1">
    <dataValidation sqref="E6:E13" showDropDown="0" showInputMessage="0" showErrorMessage="0" allowBlank="1" type="list">
      <formula1>"Caducado,Mal conservado,Error de cocina,Rotura,Devuelto por cliente,Comida de personal,Prueba o cata"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 Metodo 360</dc:creator>
  <dc:title xmlns:dc="http://purl.org/dc/elements/1.1/">Hoja de mermas</dc:title>
  <dcterms:created xmlns:dcterms="http://purl.org/dc/terms/" xmlns:xsi="http://www.w3.org/2001/XMLSchema-instance" xsi:type="dcterms:W3CDTF">2026-09-01T16:29:47Z</dcterms:created>
  <dcterms:modified xmlns:dcterms="http://purl.org/dc/terms/" xmlns:xsi="http://www.w3.org/2001/XMLSchema-instance" xsi:type="dcterms:W3CDTF">2026-09-01T16:29:47Z</dcterms:modified>
</cp:coreProperties>
</file>