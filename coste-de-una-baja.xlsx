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SE USA" sheetId="1" state="visible" r:id="rId1"/>
    <sheet xmlns:r="http://schemas.openxmlformats.org/officeDocument/2006/relationships" name="CALCULADORA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 %"/>
  </numFmts>
  <fonts count="15">
    <font>
      <name val="Calibri"/>
      <family val="2"/>
      <color theme="1"/>
      <sz val="11"/>
      <scheme val="minor"/>
    </font>
    <font>
      <name val="Calibri"/>
      <b val="1"/>
      <color rgb="00A32834"/>
      <sz val="18"/>
    </font>
    <font>
      <name val="Calibri"/>
      <color rgb="005E6266"/>
      <sz val="9"/>
    </font>
    <font>
      <name val="Calibri"/>
      <b val="1"/>
      <color rgb="0015171B"/>
      <sz val="12"/>
    </font>
    <font>
      <b val="1"/>
      <color rgb="00A32834"/>
      <sz val="11"/>
    </font>
    <font>
      <b val="1"/>
      <color rgb="0015171B"/>
      <sz val="10.5"/>
    </font>
    <font>
      <name val="Calibri"/>
      <color rgb="0015171B"/>
      <sz val="10.5"/>
    </font>
    <font>
      <name val="Calibri"/>
      <i val="1"/>
      <color rgb="005E6266"/>
      <sz val="9"/>
    </font>
    <font>
      <color rgb="0015171B"/>
      <sz val="10.5"/>
    </font>
    <font>
      <b val="1"/>
      <color rgb="0015171B"/>
      <sz val="11"/>
    </font>
    <font>
      <b val="1"/>
      <color rgb="00FFFFFF"/>
      <sz val="11"/>
    </font>
    <font>
      <b val="1"/>
      <color rgb="00FFFFFF"/>
      <sz val="12"/>
    </font>
    <font>
      <b val="1"/>
      <color rgb="001F6F4A"/>
      <sz val="10.5"/>
    </font>
    <font>
      <b val="1"/>
      <color rgb="00B8860B"/>
      <sz val="10.5"/>
    </font>
    <font>
      <b val="1"/>
      <color rgb="00A32834"/>
      <sz val="10.5"/>
    </font>
  </fonts>
  <fills count="5">
    <fill>
      <patternFill/>
    </fill>
    <fill>
      <patternFill patternType="gray125"/>
    </fill>
    <fill>
      <patternFill patternType="solid">
        <fgColor rgb="00FFFDF5"/>
      </patternFill>
    </fill>
    <fill>
      <patternFill patternType="solid">
        <fgColor rgb="00F6F5F2"/>
      </patternFill>
    </fill>
    <fill>
      <patternFill patternType="solid">
        <fgColor rgb="00A32834"/>
      </patternFill>
    </fill>
  </fills>
  <borders count="5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  <border>
      <left/>
      <right/>
      <top style="thin">
        <color rgb="00D8D4CC"/>
      </top>
      <bottom/>
      <diagonal/>
    </border>
    <border>
      <left/>
      <right style="thin">
        <color rgb="00D8D4CC"/>
      </right>
      <top style="thin">
        <color rgb="00D8D4CC"/>
      </top>
      <bottom/>
      <diagonal/>
    </border>
    <border>
      <left/>
      <right style="thin">
        <color rgb="00D8D4CC"/>
      </right>
      <top style="thin">
        <color rgb="00D8D4CC"/>
      </top>
      <bottom style="thin">
        <color rgb="00D8D4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1" pivotButton="0" quotePrefix="0" xfId="0"/>
    <xf numFmtId="164" fontId="9" fillId="2" borderId="1" pivotButton="0" quotePrefix="0" xfId="0"/>
    <xf numFmtId="0" fontId="2" fillId="0" borderId="0" applyAlignment="1" pivotButton="0" quotePrefix="0" xfId="0">
      <alignment vertical="center" wrapText="1"/>
    </xf>
    <xf numFmtId="165" fontId="9" fillId="2" borderId="1" pivotButton="0" quotePrefix="0" xfId="0"/>
    <xf numFmtId="3" fontId="9" fillId="2" borderId="1" pivotButton="0" quotePrefix="0" xfId="0"/>
    <xf numFmtId="164" fontId="4" fillId="3" borderId="1" pivotButton="0" quotePrefix="0" xfId="0"/>
    <xf numFmtId="0" fontId="5" fillId="0" borderId="1" pivotButton="0" quotePrefix="0" xfId="0"/>
    <xf numFmtId="0" fontId="10" fillId="4" borderId="1" pivotButton="0" quotePrefix="0" xfId="0"/>
    <xf numFmtId="164" fontId="11" fillId="4" borderId="1" pivotButton="0" quotePrefix="0" xfId="0"/>
    <xf numFmtId="0" fontId="12" fillId="0" borderId="1" pivotButton="0" quotePrefix="0" xfId="0"/>
    <xf numFmtId="0" fontId="0" fillId="0" borderId="4" pivotButton="0" quotePrefix="0" xfId="0"/>
    <xf numFmtId="0" fontId="6" fillId="0" borderId="0" applyAlignment="1" pivotButton="0" quotePrefix="0" xfId="0">
      <alignment vertical="center" wrapText="1"/>
    </xf>
    <xf numFmtId="0" fontId="13" fillId="0" borderId="1" pivotButton="0" quotePrefix="0" xfId="0"/>
    <xf numFmtId="0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76" customWidth="1" min="3" max="3"/>
  </cols>
  <sheetData>
    <row r="1" ht="26" customHeight="1">
      <c r="A1" s="1" t="inlineStr">
        <is>
          <t>El coste de una baja</t>
        </is>
      </c>
    </row>
    <row r="2">
      <c r="A2" s="2" t="inlineStr">
        <is>
          <t>El Metodo 360 · elmetodo360.com</t>
        </is>
      </c>
    </row>
    <row r="3" ht="6" customHeight="1"/>
    <row r="5">
      <c r="B5" s="3" t="inlineStr">
        <is>
          <t>Lo que casi nadie cuenta</t>
        </is>
      </c>
    </row>
    <row r="6" ht="46" customHeight="1">
      <c r="A6" s="4" t="n">
        <v>1</v>
      </c>
      <c r="B6" s="5" t="inlineStr">
        <is>
          <t>La Seguridad Social no te la perdona nadie.</t>
        </is>
      </c>
      <c r="C6" s="6" t="inlineStr">
        <is>
          <t>Con el trabajador de baja, la empresa sigue cotizando por el todos los dias. Es el coste que nadie cuenta porque no se ve: va en el mismo recibo de siempre.</t>
        </is>
      </c>
    </row>
    <row r="7" ht="46" customHeight="1">
      <c r="A7" s="4" t="n">
        <v>2</v>
      </c>
      <c r="B7" s="5" t="inlineStr">
        <is>
          <t>Del dia 4 al 15 paga la empresa, no la mutua.</t>
        </is>
      </c>
      <c r="C7" s="6" t="inlineStr">
        <is>
          <t>En enfermedad comun, esos doce dias salen de tu caja. A partir del 16 ya lo asume la Seguridad Social. Por eso las bajas cortas y repetidas duelen mas que una larga.</t>
        </is>
      </c>
    </row>
    <row r="8" ht="46" customHeight="1">
      <c r="A8" s="4" t="n">
        <v>3</v>
      </c>
      <c r="B8" s="5" t="inlineStr">
        <is>
          <t>Cubrir con horas extra sale mas caro de lo que parece.</t>
        </is>
      </c>
      <c r="C8" s="6" t="inlineStr">
        <is>
          <t>La hora extra se paga por encima de la ordinaria y ademas cotiza. Y el que la hace rinde menos al dia siguiente, lo cual no se factura pero se nota en la barra.</t>
        </is>
      </c>
    </row>
    <row r="9" ht="46" customHeight="1">
      <c r="A9" s="4" t="n">
        <v>4</v>
      </c>
      <c r="B9" s="5" t="inlineStr">
        <is>
          <t>No cubrir tambien cuesta, y no aparece en ninguna nomina.</t>
        </is>
      </c>
      <c r="C9" s="6" t="inlineStr">
        <is>
          <t>Servicio mas lento, mesas que rotan menos, comandas con fallos. Ponle una cifra, aunque sea conservadora: es la unica forma de comparar las tres opciones.</t>
        </is>
      </c>
    </row>
    <row r="10" ht="46" customHeight="1">
      <c r="A10" s="4" t="n">
        <v>5</v>
      </c>
      <c r="B10" s="5" t="inlineStr">
        <is>
          <t>Una baja no se gestiona: se previene.</t>
        </is>
      </c>
      <c r="C10" s="6" t="inlineStr">
        <is>
          <t>Cuando tengas el numero, comparalo con lo que cuesta la prevencion que no haces: el calzado antideslizante, el descanso entre turnos, el cuadrante que no encadena cierres con aperturas.</t>
        </is>
      </c>
    </row>
    <row r="12" ht="30" customHeight="1">
      <c r="B12" s="7" t="inlineStr">
        <is>
          <t>Rellena solo las celdas de fondo crema de la pestana CALCULADORA. El resto sale solo. Los porcentajes de cotizacion y complemento son orientativos: los exactos estan en tu convenio y en tu ultimo TC1.</t>
        </is>
      </c>
    </row>
  </sheetData>
  <mergeCells count="3">
    <mergeCell ref="A1:C1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7" customWidth="1" min="3" max="3"/>
    <col width="68" customWidth="1" min="4" max="4"/>
  </cols>
  <sheetData>
    <row r="1" ht="26" customHeight="1">
      <c r="A1" s="1" t="inlineStr">
        <is>
          <t>Calculadora</t>
        </is>
      </c>
    </row>
    <row r="2">
      <c r="A2" s="2" t="inlineStr">
        <is>
          <t>Rellena lo de fondo crema. El resto se calcula solo.</t>
        </is>
      </c>
    </row>
    <row r="3" ht="6" customHeight="1"/>
    <row r="6">
      <c r="B6" s="3" t="inlineStr">
        <is>
          <t>Lo que pones tu</t>
        </is>
      </c>
    </row>
    <row r="7" ht="30" customHeight="1">
      <c r="B7" s="8" t="inlineStr">
        <is>
          <t>Salario bruto anual del que falta</t>
        </is>
      </c>
      <c r="C7" s="9" t="n"/>
      <c r="D7" s="10" t="inlineStr">
        <is>
          <t>Lo que figura en su contrato, sin la parte de empresa.</t>
        </is>
      </c>
    </row>
    <row r="8" ht="30" customHeight="1">
      <c r="B8" s="8" t="inlineStr">
        <is>
          <t>Cotizacion de empresa a la SS</t>
        </is>
      </c>
      <c r="C8" s="11" t="n"/>
      <c r="D8" s="10" t="inlineStr">
        <is>
          <t>Ronda el 31,5 % del bruto en hosteleria. Ajustalo si tienes el dato exacto.</t>
        </is>
      </c>
    </row>
    <row r="9" ht="30" customHeight="1">
      <c r="B9" s="8" t="inlineStr">
        <is>
          <t>Dias naturales de baja</t>
        </is>
      </c>
      <c r="C9" s="12" t="n"/>
      <c r="D9" s="10" t="inlineStr">
        <is>
          <t>De alta a alta, contando fines de semana.</t>
        </is>
      </c>
    </row>
    <row r="10" ht="8" customHeight="1"/>
    <row r="11" ht="30" customHeight="1">
      <c r="B11" s="8" t="inlineStr">
        <is>
          <t>Complemento del convenio</t>
        </is>
      </c>
      <c r="C11" s="11" t="n"/>
      <c r="D11" s="10" t="inlineStr">
        <is>
          <t>Lo que pones tu encima de la prestacion, del dia 4 al 15. Si tu convenio no complementa, pon 0.</t>
        </is>
      </c>
    </row>
    <row r="12" ht="8" customHeight="1"/>
    <row r="13" ht="30" customHeight="1">
      <c r="B13" s="8" t="inlineStr">
        <is>
          <t>Horas a cubrir al dia</t>
        </is>
      </c>
      <c r="C13" s="12" t="n"/>
      <c r="D13" s="10" t="inlineStr">
        <is>
          <t>Las que de verdad hay que tapar, no las de su jornada entera.</t>
        </is>
      </c>
    </row>
    <row r="14" ht="30" customHeight="1">
      <c r="B14" s="8" t="inlineStr">
        <is>
          <t>Precio de la hora extra</t>
        </is>
      </c>
      <c r="C14" s="9" t="n"/>
      <c r="D14" s="10" t="inlineStr">
        <is>
          <t>Con el recargo y la parte de empresa incluidos.</t>
        </is>
      </c>
    </row>
    <row r="15" ht="30" customHeight="1">
      <c r="B15" s="8" t="inlineStr">
        <is>
          <t>Dias que se cubren</t>
        </is>
      </c>
      <c r="C15" s="12" t="n"/>
      <c r="D15" s="10" t="inlineStr">
        <is>
          <t>Los que has tenido que poner a otro. Si no cubres, pon 0.</t>
        </is>
      </c>
    </row>
    <row r="16" ht="8" customHeight="1"/>
    <row r="17" ht="30" customHeight="1">
      <c r="B17" s="8" t="inlineStr">
        <is>
          <t>Coste del servicio peor</t>
        </is>
      </c>
      <c r="C17" s="9" t="n"/>
      <c r="D17" s="10" t="inlineStr">
        <is>
          <t>Lo que estimas que se pierde por ir cortos: mesas mas lentas, fallos, clientes que no repiten.</t>
        </is>
      </c>
    </row>
    <row r="20">
      <c r="B20" s="3" t="inlineStr">
        <is>
          <t>Lo que te cuesta</t>
        </is>
      </c>
    </row>
    <row r="21" ht="26" customHeight="1">
      <c r="B21" s="8" t="inlineStr">
        <is>
          <t>Coste diario del puesto</t>
        </is>
      </c>
      <c r="C21" s="13">
        <f>(C7*(1+C8))/365</f>
        <v/>
      </c>
      <c r="D21" s="10" t="inlineStr">
        <is>
          <t>Bruto mas la parte de empresa, repartido en el ano.</t>
        </is>
      </c>
    </row>
    <row r="22" ht="26" customHeight="1">
      <c r="B22" s="14" t="inlineStr">
        <is>
          <t>Cotizacion durante la baja</t>
        </is>
      </c>
      <c r="C22" s="13">
        <f>((C7*C8)/365)*C9</f>
        <v/>
      </c>
      <c r="D22" s="10" t="inlineStr">
        <is>
          <t>Lo que sigues cotizando por alguien que no esta. Esto no se recupera.</t>
        </is>
      </c>
    </row>
    <row r="23" ht="26" customHeight="1">
      <c r="B23" s="14" t="inlineStr">
        <is>
          <t>Complemento que pones tu</t>
        </is>
      </c>
      <c r="C23" s="13">
        <f>IF(C9&lt;=3,0,((C7/365)*C11)*MIN(C9-3,12))</f>
        <v/>
      </c>
      <c r="D23" s="10" t="inlineStr">
        <is>
          <t>Del dia 4 al 15, y solo si tu convenio complementa.</t>
        </is>
      </c>
    </row>
    <row r="24" ht="26" customHeight="1">
      <c r="B24" s="14" t="inlineStr">
        <is>
          <t>Coste de la sustitucion</t>
        </is>
      </c>
      <c r="C24" s="13">
        <f>C13*C14*C15</f>
        <v/>
      </c>
      <c r="D24" s="10" t="inlineStr">
        <is>
          <t>Horas al dia por precio por dias cubiertos.</t>
        </is>
      </c>
    </row>
    <row r="25" ht="26" customHeight="1">
      <c r="B25" s="14" t="inlineStr">
        <is>
          <t>Servicio peor</t>
        </is>
      </c>
      <c r="C25" s="13">
        <f>C17</f>
        <v/>
      </c>
      <c r="D25" s="10" t="inlineStr">
        <is>
          <t>Tu estimacion de lo que se pierde por ir cortos.</t>
        </is>
      </c>
    </row>
    <row r="26" ht="8" customHeight="1"/>
    <row r="27" ht="30" customHeight="1">
      <c r="B27" s="15" t="inlineStr">
        <is>
          <t>COSTE TOTAL DE LA BAJA</t>
        </is>
      </c>
      <c r="C27" s="16">
        <f>C22+C23+C24+C25</f>
        <v/>
      </c>
    </row>
    <row r="28" ht="26" customHeight="1">
      <c r="B28" s="8" t="inlineStr">
        <is>
          <t>Coste por dia de baja</t>
        </is>
      </c>
      <c r="C28" s="13">
        <f>IF(C9=0,"",C27/C9)</f>
        <v/>
      </c>
      <c r="D28" s="10" t="inlineStr">
        <is>
          <t>Este es el numero que se compara con la prevencion.</t>
        </is>
      </c>
    </row>
    <row r="31">
      <c r="B31" s="3" t="inlineStr">
        <is>
          <t>Que hacer con ese numero</t>
        </is>
      </c>
    </row>
    <row r="32" ht="36" customHeight="1">
      <c r="B32" s="17" t="inlineStr">
        <is>
          <t>Por debajo de 40 € al dia</t>
        </is>
      </c>
      <c r="C32" s="18" t="n"/>
      <c r="D32" s="19" t="inlineStr">
        <is>
          <t>Tienes el equipo dimensionado y el convenio no te aprieta. Vigila que no suba.</t>
        </is>
      </c>
    </row>
    <row r="33" ht="36" customHeight="1">
      <c r="B33" s="20" t="inlineStr">
        <is>
          <t>Entre 40 y 90 € al dia</t>
        </is>
      </c>
      <c r="C33" s="18" t="n"/>
      <c r="D33" s="19" t="inlineStr">
        <is>
          <t>Lo normal en un local que cubre con horas extra. Mira si te sale mejor tener a alguien polivalente a media jornada que pagar extras cada vez.</t>
        </is>
      </c>
    </row>
    <row r="34" ht="36" customHeight="1">
      <c r="B34" s="21" t="inlineStr">
        <is>
          <t>Por encima de 90 € al dia</t>
        </is>
      </c>
      <c r="C34" s="18" t="n"/>
      <c r="D34" s="19" t="inlineStr">
        <is>
          <t>O tienes una plantilla muy justa, o estas cubriendo con horas extra caras, o las dos cosas. Con dos bajas al ano pagas el sueldo de un mes: ahi hay una conversacion pendiente con tu cuadrante.</t>
        </is>
      </c>
    </row>
  </sheetData>
  <mergeCells count="5">
    <mergeCell ref="A1:D1"/>
    <mergeCell ref="B33:C33"/>
    <mergeCell ref="B34:C34"/>
    <mergeCell ref="B32:C3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7" customWidth="1" min="3" max="3"/>
    <col width="68" customWidth="1" min="4" max="4"/>
  </cols>
  <sheetData>
    <row r="1" ht="26" customHeight="1">
      <c r="A1" s="1" t="inlineStr">
        <is>
          <t>Calculadora</t>
        </is>
      </c>
    </row>
    <row r="2">
      <c r="A2" s="2" t="inlineStr">
        <is>
          <t>Rellena lo de fondo crema. El resto se calcula solo.</t>
        </is>
      </c>
    </row>
    <row r="3" ht="6" customHeight="1"/>
    <row r="6">
      <c r="B6" s="3" t="inlineStr">
        <is>
          <t>Lo que pones tu</t>
        </is>
      </c>
    </row>
    <row r="7" ht="30" customHeight="1">
      <c r="B7" s="8" t="inlineStr">
        <is>
          <t>Salario bruto anual del que falta</t>
        </is>
      </c>
      <c r="C7" s="9" t="n">
        <v>22000</v>
      </c>
      <c r="D7" s="10" t="inlineStr">
        <is>
          <t>Lo que figura en su contrato, sin la parte de empresa.</t>
        </is>
      </c>
    </row>
    <row r="8" ht="30" customHeight="1">
      <c r="B8" s="8" t="inlineStr">
        <is>
          <t>Cotizacion de empresa a la SS</t>
        </is>
      </c>
      <c r="C8" s="11" t="n">
        <v>0.315</v>
      </c>
      <c r="D8" s="10" t="inlineStr">
        <is>
          <t>Ronda el 31,5 % del bruto en hosteleria. Ajustalo si tienes el dato exacto.</t>
        </is>
      </c>
    </row>
    <row r="9" ht="30" customHeight="1">
      <c r="B9" s="8" t="inlineStr">
        <is>
          <t>Dias naturales de baja</t>
        </is>
      </c>
      <c r="C9" s="12" t="n">
        <v>12</v>
      </c>
      <c r="D9" s="10" t="inlineStr">
        <is>
          <t>De alta a alta, contando fines de semana.</t>
        </is>
      </c>
    </row>
    <row r="10" ht="8" customHeight="1"/>
    <row r="11" ht="30" customHeight="1">
      <c r="B11" s="8" t="inlineStr">
        <is>
          <t>Complemento del convenio</t>
        </is>
      </c>
      <c r="C11" s="11" t="n">
        <v>0.4</v>
      </c>
      <c r="D11" s="10" t="inlineStr">
        <is>
          <t>Lo que pones tu encima de la prestacion, del dia 4 al 15. Si tu convenio no complementa, pon 0.</t>
        </is>
      </c>
    </row>
    <row r="12" ht="8" customHeight="1"/>
    <row r="13" ht="30" customHeight="1">
      <c r="B13" s="8" t="inlineStr">
        <is>
          <t>Horas a cubrir al dia</t>
        </is>
      </c>
      <c r="C13" s="12" t="n">
        <v>6</v>
      </c>
      <c r="D13" s="10" t="inlineStr">
        <is>
          <t>Las que de verdad hay que tapar, no las de su jornada entera.</t>
        </is>
      </c>
    </row>
    <row r="14" ht="30" customHeight="1">
      <c r="B14" s="8" t="inlineStr">
        <is>
          <t>Precio de la hora extra</t>
        </is>
      </c>
      <c r="C14" s="9" t="n">
        <v>14.5</v>
      </c>
      <c r="D14" s="10" t="inlineStr">
        <is>
          <t>Con el recargo y la parte de empresa incluidos.</t>
        </is>
      </c>
    </row>
    <row r="15" ht="30" customHeight="1">
      <c r="B15" s="8" t="inlineStr">
        <is>
          <t>Dias que se cubren</t>
        </is>
      </c>
      <c r="C15" s="12" t="n">
        <v>12</v>
      </c>
      <c r="D15" s="10" t="inlineStr">
        <is>
          <t>Los que has tenido que poner a otro. Si no cubres, pon 0.</t>
        </is>
      </c>
    </row>
    <row r="16" ht="8" customHeight="1"/>
    <row r="17" ht="30" customHeight="1">
      <c r="B17" s="8" t="inlineStr">
        <is>
          <t>Coste del servicio peor</t>
        </is>
      </c>
      <c r="C17" s="9" t="n">
        <v>300</v>
      </c>
      <c r="D17" s="10" t="inlineStr">
        <is>
          <t>Lo que estimas que se pierde por ir cortos: mesas mas lentas, fallos, clientes que no repiten.</t>
        </is>
      </c>
    </row>
    <row r="20">
      <c r="B20" s="3" t="inlineStr">
        <is>
          <t>Lo que te cuesta</t>
        </is>
      </c>
    </row>
    <row r="21" ht="26" customHeight="1">
      <c r="B21" s="8" t="inlineStr">
        <is>
          <t>Coste diario del puesto</t>
        </is>
      </c>
      <c r="C21" s="13">
        <f>(C7*(1+C8))/365</f>
        <v/>
      </c>
      <c r="D21" s="10" t="inlineStr">
        <is>
          <t>Bruto mas la parte de empresa, repartido en el ano.</t>
        </is>
      </c>
    </row>
    <row r="22" ht="26" customHeight="1">
      <c r="B22" s="14" t="inlineStr">
        <is>
          <t>Cotizacion durante la baja</t>
        </is>
      </c>
      <c r="C22" s="13">
        <f>((C7*C8)/365)*C9</f>
        <v/>
      </c>
      <c r="D22" s="10" t="inlineStr">
        <is>
          <t>Lo que sigues cotizando por alguien que no esta. Esto no se recupera.</t>
        </is>
      </c>
    </row>
    <row r="23" ht="26" customHeight="1">
      <c r="B23" s="14" t="inlineStr">
        <is>
          <t>Complemento que pones tu</t>
        </is>
      </c>
      <c r="C23" s="13">
        <f>IF(C9&lt;=3,0,((C7/365)*C11)*MIN(C9-3,12))</f>
        <v/>
      </c>
      <c r="D23" s="10" t="inlineStr">
        <is>
          <t>Del dia 4 al 15, y solo si tu convenio complementa.</t>
        </is>
      </c>
    </row>
    <row r="24" ht="26" customHeight="1">
      <c r="B24" s="14" t="inlineStr">
        <is>
          <t>Coste de la sustitucion</t>
        </is>
      </c>
      <c r="C24" s="13">
        <f>C13*C14*C15</f>
        <v/>
      </c>
      <c r="D24" s="10" t="inlineStr">
        <is>
          <t>Horas al dia por precio por dias cubiertos.</t>
        </is>
      </c>
    </row>
    <row r="25" ht="26" customHeight="1">
      <c r="B25" s="14" t="inlineStr">
        <is>
          <t>Servicio peor</t>
        </is>
      </c>
      <c r="C25" s="13">
        <f>C17</f>
        <v/>
      </c>
      <c r="D25" s="10" t="inlineStr">
        <is>
          <t>Tu estimacion de lo que se pierde por ir cortos.</t>
        </is>
      </c>
    </row>
    <row r="26" ht="8" customHeight="1"/>
    <row r="27" ht="30" customHeight="1">
      <c r="B27" s="15" t="inlineStr">
        <is>
          <t>COSTE TOTAL DE LA BAJA</t>
        </is>
      </c>
      <c r="C27" s="16">
        <f>C22+C23+C24+C25</f>
        <v/>
      </c>
    </row>
    <row r="28" ht="26" customHeight="1">
      <c r="B28" s="8" t="inlineStr">
        <is>
          <t>Coste por dia de baja</t>
        </is>
      </c>
      <c r="C28" s="13">
        <f>IF(C9=0,"",C27/C9)</f>
        <v/>
      </c>
      <c r="D28" s="10" t="inlineStr">
        <is>
          <t>Este es el numero que se compara con la prevencion.</t>
        </is>
      </c>
    </row>
    <row r="31">
      <c r="B31" s="3" t="inlineStr">
        <is>
          <t>Que hacer con ese numero</t>
        </is>
      </c>
    </row>
    <row r="32" ht="36" customHeight="1">
      <c r="B32" s="17" t="inlineStr">
        <is>
          <t>Por debajo de 40 € al dia</t>
        </is>
      </c>
      <c r="C32" s="18" t="n"/>
      <c r="D32" s="19" t="inlineStr">
        <is>
          <t>Tienes el equipo dimensionado y el convenio no te aprieta. Vigila que no suba.</t>
        </is>
      </c>
    </row>
    <row r="33" ht="36" customHeight="1">
      <c r="B33" s="20" t="inlineStr">
        <is>
          <t>Entre 40 y 90 € al dia</t>
        </is>
      </c>
      <c r="C33" s="18" t="n"/>
      <c r="D33" s="19" t="inlineStr">
        <is>
          <t>Lo normal en un local que cubre con horas extra. Mira si te sale mejor tener a alguien polivalente a media jornada que pagar extras cada vez.</t>
        </is>
      </c>
    </row>
    <row r="34" ht="36" customHeight="1">
      <c r="B34" s="21" t="inlineStr">
        <is>
          <t>Por encima de 90 € al dia</t>
        </is>
      </c>
      <c r="C34" s="18" t="n"/>
      <c r="D34" s="19" t="inlineStr">
        <is>
          <t>O tienes una plantilla muy justa, o estas cubriendo con horas extra caras, o las dos cosas. Con dos bajas al ano pagas el sueldo de un mes: ahi hay una conversacion pendiente con tu cuadrante.</t>
        </is>
      </c>
    </row>
  </sheetData>
  <mergeCells count="5">
    <mergeCell ref="A1:D1"/>
    <mergeCell ref="B33:C33"/>
    <mergeCell ref="B34:C34"/>
    <mergeCell ref="B32:C3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 Metodo 360</dc:creator>
  <dc:title xmlns:dc="http://purl.org/dc/elements/1.1/">El coste real de una baja</dc:title>
  <dcterms:created xmlns:dcterms="http://purl.org/dc/terms/" xmlns:xsi="http://www.w3.org/2001/XMLSchema-instance" xsi:type="dcterms:W3CDTF">2026-09-01T16:27:41Z</dcterms:created>
  <dcterms:modified xmlns:dcterms="http://purl.org/dc/terms/" xmlns:xsi="http://www.w3.org/2001/XMLSchema-instance" xsi:type="dcterms:W3CDTF">2026-09-01T16:27:41Z</dcterms:modified>
</cp:coreProperties>
</file>